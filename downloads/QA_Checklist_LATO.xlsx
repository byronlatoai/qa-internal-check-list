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1. Workflow" sheetId="2" state="visible" r:id="rId2"/>
    <sheet xmlns:r="http://schemas.openxmlformats.org/officeDocument/2006/relationships" name="2. Proposal" sheetId="3" state="visible" r:id="rId3"/>
    <sheet xmlns:r="http://schemas.openxmlformats.org/officeDocument/2006/relationships" name="3. Technical Scope" sheetId="4" state="visible" r:id="rId4"/>
    <sheet xmlns:r="http://schemas.openxmlformats.org/officeDocument/2006/relationships" name="4. API Research" sheetId="5" state="visible" r:id="rId5"/>
    <sheet xmlns:r="http://schemas.openxmlformats.org/officeDocument/2006/relationships" name="5. Business Logic" sheetId="6" state="visible" r:id="rId6"/>
    <sheet xmlns:r="http://schemas.openxmlformats.org/officeDocument/2006/relationships" name="T. Transversales (fuente)" sheetId="7" state="visible" r:id="rId7"/>
  </sheets>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864"/>
      <sz val="13"/>
    </font>
    <font>
      <name val="Arial"/>
      <i val="1"/>
      <color rgb="00667085"/>
      <sz val="9"/>
    </font>
    <font>
      <name val="Arial"/>
      <b val="1"/>
      <color rgb="00FFFFFF"/>
      <sz val="10"/>
    </font>
    <font>
      <name val="Arial"/>
      <b val="1"/>
      <color rgb="001F3864"/>
      <sz val="10"/>
    </font>
    <font>
      <name val="Arial"/>
      <b val="1"/>
      <color rgb="00101828"/>
      <sz val="10"/>
    </font>
    <font>
      <name val="Arial"/>
      <color rgb="00101828"/>
      <sz val="10"/>
    </font>
    <font>
      <name val="Arial"/>
      <b val="1"/>
      <color rgb="00B42318"/>
      <sz val="10"/>
    </font>
    <font>
      <name val="Arial"/>
      <b val="1"/>
      <color rgb="001F3864"/>
      <sz val="18"/>
    </font>
    <font>
      <name val="Arial"/>
      <color rgb="00667085"/>
      <sz val="11"/>
    </font>
    <font>
      <name val="Arial"/>
      <b val="1"/>
      <sz val="10"/>
    </font>
    <font>
      <name val="Arial"/>
      <sz val="10"/>
    </font>
    <font>
      <name val="Arial"/>
      <b val="1"/>
      <color rgb="00FFFFFF"/>
      <sz val="9"/>
    </font>
    <font>
      <name val="Arial"/>
      <sz val="9"/>
    </font>
    <font>
      <name val="Arial"/>
      <b val="1"/>
      <color rgb="001F3864"/>
      <sz val="12"/>
    </font>
  </fonts>
  <fills count="8">
    <fill>
      <patternFill/>
    </fill>
    <fill>
      <patternFill patternType="gray125"/>
    </fill>
    <fill>
      <patternFill patternType="solid">
        <fgColor rgb="001F3864"/>
      </patternFill>
    </fill>
    <fill>
      <patternFill patternType="solid">
        <fgColor rgb="00E7F0E9"/>
      </patternFill>
    </fill>
    <fill>
      <patternFill patternType="solid">
        <fgColor rgb="00FDECEF"/>
      </patternFill>
    </fill>
    <fill>
      <patternFill patternType="solid">
        <fgColor rgb="00F7F8FA"/>
      </patternFill>
    </fill>
    <fill>
      <patternFill patternType="solid">
        <fgColor rgb="00DCE3EF"/>
      </patternFill>
    </fill>
    <fill>
      <patternFill patternType="solid">
        <fgColor rgb="00FFF2CC"/>
      </patternFill>
    </fill>
  </fills>
  <borders count="6">
    <border>
      <left/>
      <right/>
      <top/>
      <bottom/>
      <diagonal/>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top style="thin">
        <color rgb="00D0D5DD"/>
      </top>
      <bottom style="thin">
        <color rgb="00D0D5DD"/>
      </bottom>
      <diagonal/>
    </border>
    <border>
      <left/>
      <right style="thin">
        <color rgb="00D0D5DD"/>
      </right>
      <top style="thin">
        <color rgb="00D0D5DD"/>
      </top>
      <bottom style="thin">
        <color rgb="00D0D5DD"/>
      </bottom>
      <diagonal/>
    </border>
  </borders>
  <cellStyleXfs count="1">
    <xf numFmtId="0" fontId="0" fillId="0" borderId="0"/>
  </cellStyleXfs>
  <cellXfs count="30">
    <xf numFmtId="0" fontId="0"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applyAlignment="1" pivotButton="0" quotePrefix="0" xfId="0">
      <alignment vertical="top" wrapText="1"/>
    </xf>
    <xf numFmtId="0" fontId="11" fillId="0" borderId="0" pivotButton="0" quotePrefix="0" xfId="0"/>
    <xf numFmtId="0" fontId="12" fillId="2" borderId="1" applyAlignment="1" pivotButton="0" quotePrefix="0" xfId="0">
      <alignment horizontal="center" vertical="center" wrapText="1"/>
    </xf>
    <xf numFmtId="0" fontId="13" fillId="7" borderId="1" applyAlignment="1" pivotButton="0" quotePrefix="0" xfId="0">
      <alignment vertical="top" wrapText="1"/>
    </xf>
    <xf numFmtId="0" fontId="14" fillId="0" borderId="0" pivotButton="0" quotePrefix="0" xfId="0"/>
    <xf numFmtId="0" fontId="3" fillId="2" borderId="1" applyAlignment="1" pivotButton="0" quotePrefix="0" xfId="0">
      <alignment horizontal="center" vertical="center" wrapText="1"/>
    </xf>
    <xf numFmtId="0" fontId="11" fillId="0" borderId="1" applyAlignment="1" pivotButton="0" quotePrefix="0" xfId="0">
      <alignment horizontal="left"/>
    </xf>
    <xf numFmtId="0" fontId="11" fillId="0" borderId="1" applyAlignment="1" pivotButton="0" quotePrefix="0" xfId="0">
      <alignment horizontal="center"/>
    </xf>
    <xf numFmtId="0" fontId="11" fillId="5" borderId="1" applyAlignment="1" pivotButton="0" quotePrefix="0" xfId="0">
      <alignment horizontal="left"/>
    </xf>
    <xf numFmtId="0" fontId="11" fillId="5" borderId="1" applyAlignment="1" pivotButton="0" quotePrefix="0" xfId="0">
      <alignment horizontal="center"/>
    </xf>
    <xf numFmtId="0" fontId="4" fillId="0" borderId="1" applyAlignment="1" pivotButton="0" quotePrefix="0" xfId="0">
      <alignment horizontal="left"/>
    </xf>
    <xf numFmtId="0" fontId="4" fillId="0" borderId="1" applyAlignment="1" pivotButton="0" quotePrefix="0" xfId="0">
      <alignment horizontal="center"/>
    </xf>
    <xf numFmtId="0" fontId="2" fillId="0" borderId="0" pivotButton="0" quotePrefix="0" xfId="0"/>
    <xf numFmtId="0" fontId="1" fillId="0" borderId="0" pivotButton="0" quotePrefix="0" xfId="0"/>
    <xf numFmtId="0" fontId="4" fillId="3" borderId="1" applyAlignment="1" pivotButton="0" quotePrefix="0" xfId="0">
      <alignment vertical="center"/>
    </xf>
    <xf numFmtId="0" fontId="0" fillId="0" borderId="4" pivotButton="0" quotePrefix="0" xfId="0"/>
    <xf numFmtId="0" fontId="0" fillId="0" borderId="5" pivotButton="0" quotePrefix="0" xfId="0"/>
    <xf numFmtId="0" fontId="5" fillId="4" borderId="1" applyAlignment="1" pivotButton="0" quotePrefix="0" xfId="0">
      <alignment horizontal="center" vertical="top"/>
    </xf>
    <xf numFmtId="0" fontId="6" fillId="4" borderId="1" applyAlignment="1" pivotButton="0" quotePrefix="0" xfId="0">
      <alignment horizontal="left" vertical="top" wrapText="1"/>
    </xf>
    <xf numFmtId="0" fontId="7" fillId="4" borderId="1" applyAlignment="1" pivotButton="0" quotePrefix="0" xfId="0">
      <alignment horizontal="center" vertical="top"/>
    </xf>
    <xf numFmtId="0" fontId="6" fillId="4" borderId="1" applyAlignment="1" pivotButton="0" quotePrefix="0" xfId="0">
      <alignment horizontal="center" vertical="top"/>
    </xf>
    <xf numFmtId="0" fontId="6" fillId="0" borderId="1" applyAlignment="1" pivotButton="0" quotePrefix="0" xfId="0">
      <alignment horizontal="center" vertical="top"/>
    </xf>
    <xf numFmtId="0" fontId="6" fillId="0" borderId="1" applyAlignment="1" pivotButton="0" quotePrefix="0" xfId="0">
      <alignment horizontal="left" vertical="top" wrapText="1"/>
    </xf>
    <xf numFmtId="0" fontId="6" fillId="5" borderId="1" applyAlignment="1" pivotButton="0" quotePrefix="0" xfId="0">
      <alignment horizontal="center" vertical="top"/>
    </xf>
    <xf numFmtId="0" fontId="6" fillId="5" borderId="1" applyAlignment="1" pivotButton="0" quotePrefix="0" xfId="0">
      <alignment horizontal="left" vertical="top" wrapText="1"/>
    </xf>
    <xf numFmtId="0" fontId="4" fillId="6"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5"/>
  <cols>
    <col width="26" customWidth="1" min="1" max="1"/>
    <col width="10" customWidth="1" min="2" max="2"/>
    <col width="12" customWidth="1" min="3" max="3"/>
    <col width="10" customWidth="1" min="4" max="4"/>
    <col width="10" customWidth="1" min="5" max="5"/>
    <col width="11" customWidth="1" min="6" max="6"/>
    <col width="12" customWidth="1" min="7" max="7"/>
    <col width="13" customWidth="1" min="8" max="8"/>
  </cols>
  <sheetData>
    <row r="1">
      <c r="A1" s="1" t="inlineStr">
        <is>
          <t>QA CHECKLIST — LATO AI</t>
        </is>
      </c>
    </row>
    <row r="2">
      <c r="A2" s="2" t="inlineStr">
        <is>
          <t>Plantilla de revisión · contenido Checklist V2</t>
        </is>
      </c>
    </row>
    <row r="4">
      <c r="A4" s="3" t="inlineStr">
        <is>
          <t>Fuente</t>
        </is>
      </c>
    </row>
    <row r="5">
      <c r="A5" s="4" t="inlineStr">
        <is>
          <t>Feedback de Dana Carvajal en los 20 chats de proyecto de Telegram (abril–julio 2026), sus 16 videos de revisión, sus 41 notas de voz transcritas, las capturas anotadas que envió, la Knowledge Base del equipo, y la comparación entre la proposal generada por el sistema para Baily y la versión que ella corrigió a mano.</t>
        </is>
      </c>
    </row>
    <row r="6"/>
    <row r="7"/>
    <row r="9">
      <c r="A9" s="3" t="inlineStr">
        <is>
          <t>Cómo se usa</t>
        </is>
      </c>
    </row>
    <row r="10">
      <c r="A10" s="5" t="inlineStr">
        <is>
          <t>1.  Una pestaña por documento. Cada pestaña es autocontenida: trae TODO lo que hay que revisar</t>
        </is>
      </c>
    </row>
    <row r="11">
      <c r="A11" s="5" t="inlineStr">
        <is>
          <t xml:space="preserve">     en ese entregable, incluidos los transversales.</t>
        </is>
      </c>
    </row>
    <row r="12">
      <c r="A12" s="5" t="inlineStr">
        <is>
          <t>2.  Dentro de cada pestaña el orden es: TRANSVERSALES, luego los CRÍTICOS de ese documento,</t>
        </is>
      </c>
    </row>
    <row r="13">
      <c r="A13" s="5" t="inlineStr">
        <is>
          <t xml:space="preserve">     y después el resto agrupado por mini-categoría.</t>
        </is>
      </c>
    </row>
    <row r="14">
      <c r="A14" s="5" t="inlineStr">
        <is>
          <t>3.  La única columna que llenas es «¿Va?» (Sí / No / Ajustar / Pendiente), más «Notas / decisión».</t>
        </is>
      </c>
    </row>
    <row r="15">
      <c r="A15" s="5" t="inlineStr">
        <is>
          <t>4.  Las filas rosadas, marcadas CRÍTICO, son las que se han devuelto corregidas más de una vez.</t>
        </is>
      </c>
    </row>
    <row r="16">
      <c r="A16" s="5" t="inlineStr">
        <is>
          <t>5.  Los transversales salen de data/transversales.json y son los mismos en todas las pestañas.</t>
        </is>
      </c>
    </row>
    <row r="17">
      <c r="A17" s="5" t="inlineStr">
        <is>
          <t>6.  El resumen de abajo se actualiza solo a medida que vas marcando.</t>
        </is>
      </c>
    </row>
    <row r="20">
      <c r="A20" s="3" t="inlineStr">
        <is>
          <t>Ejemplo de cómo llenar una fila</t>
        </is>
      </c>
    </row>
    <row r="21">
      <c r="A21" s="6" t="inlineStr">
        <is>
          <t>#</t>
        </is>
      </c>
      <c r="B21" s="6" t="inlineStr">
        <is>
          <t>Qué revisar</t>
        </is>
      </c>
      <c r="C21" s="6" t="inlineStr">
        <is>
          <t>¿Va?</t>
        </is>
      </c>
      <c r="D21" s="6" t="inlineStr">
        <is>
          <t>Notas / decisión</t>
        </is>
      </c>
    </row>
    <row r="22" ht="30" customHeight="1">
      <c r="A22" s="7" t="inlineStr">
        <is>
          <t>2.35</t>
        </is>
      </c>
      <c r="B22" s="7" t="inlineStr">
        <is>
          <t>Formato numérico gringo: 1,000.00, miles con coma.</t>
        </is>
      </c>
      <c r="C22" s="7" t="inlineStr">
        <is>
          <t>Sí</t>
        </is>
      </c>
      <c r="D22" s="7" t="inlineStr">
        <is>
          <t>Sumar también el símbolo $ pegado al número.</t>
        </is>
      </c>
    </row>
    <row r="25">
      <c r="A25" s="8" t="inlineStr">
        <is>
          <t>Resumen de la revisión</t>
        </is>
      </c>
    </row>
    <row r="26" ht="26" customHeight="1">
      <c r="A26" s="9" t="inlineStr">
        <is>
          <t>Pestaña</t>
        </is>
      </c>
      <c r="B26" s="9" t="inlineStr">
        <is>
          <t>Ítems</t>
        </is>
      </c>
      <c r="C26" s="9" t="inlineStr">
        <is>
          <t>Críticos</t>
        </is>
      </c>
      <c r="D26" s="9" t="inlineStr">
        <is>
          <t>Sí</t>
        </is>
      </c>
      <c r="E26" s="9" t="inlineStr">
        <is>
          <t>No</t>
        </is>
      </c>
      <c r="F26" s="9" t="inlineStr">
        <is>
          <t>Ajustar</t>
        </is>
      </c>
      <c r="G26" s="9" t="inlineStr">
        <is>
          <t>Pendiente</t>
        </is>
      </c>
      <c r="H26" s="9" t="inlineStr">
        <is>
          <t>Sin marcar</t>
        </is>
      </c>
    </row>
    <row r="27">
      <c r="A27" s="10" t="inlineStr">
        <is>
          <t>1. Workflow</t>
        </is>
      </c>
      <c r="B27" s="11" t="n">
        <v>20</v>
      </c>
      <c r="C27" s="11" t="n">
        <v>9</v>
      </c>
      <c r="D27" s="11">
        <f>COUNTIF('1. Workflow'!F5:F32,"Sí")</f>
        <v/>
      </c>
      <c r="E27" s="11">
        <f>COUNTIF('1. Workflow'!F5:F32,"No")</f>
        <v/>
      </c>
      <c r="F27" s="11">
        <f>COUNTIF('1. Workflow'!F5:F32,"Ajustar")</f>
        <v/>
      </c>
      <c r="G27" s="11">
        <f>COUNTIF('1. Workflow'!F5:F32,"Pendiente")</f>
        <v/>
      </c>
      <c r="H27" s="11">
        <f>B27-SUM(D27:G27)</f>
        <v/>
      </c>
    </row>
    <row r="28">
      <c r="A28" s="12" t="inlineStr">
        <is>
          <t>2. Proposal</t>
        </is>
      </c>
      <c r="B28" s="13" t="n">
        <v>20</v>
      </c>
      <c r="C28" s="13" t="n">
        <v>9</v>
      </c>
      <c r="D28" s="13">
        <f>COUNTIF('2. Proposal'!F5:F33,"Sí")</f>
        <v/>
      </c>
      <c r="E28" s="13">
        <f>COUNTIF('2. Proposal'!F5:F33,"No")</f>
        <v/>
      </c>
      <c r="F28" s="13">
        <f>COUNTIF('2. Proposal'!F5:F33,"Ajustar")</f>
        <v/>
      </c>
      <c r="G28" s="13">
        <f>COUNTIF('2. Proposal'!F5:F33,"Pendiente")</f>
        <v/>
      </c>
      <c r="H28" s="13">
        <f>B28-SUM(D28:G28)</f>
        <v/>
      </c>
    </row>
    <row r="29">
      <c r="A29" s="10" t="inlineStr">
        <is>
          <t>3. Technical Scope</t>
        </is>
      </c>
      <c r="B29" s="11" t="n">
        <v>20</v>
      </c>
      <c r="C29" s="11" t="n">
        <v>8</v>
      </c>
      <c r="D29" s="11">
        <f>COUNTIF('3. Technical Scope'!F5:F29,"Sí")</f>
        <v/>
      </c>
      <c r="E29" s="11">
        <f>COUNTIF('3. Technical Scope'!F5:F29,"No")</f>
        <v/>
      </c>
      <c r="F29" s="11">
        <f>COUNTIF('3. Technical Scope'!F5:F29,"Ajustar")</f>
        <v/>
      </c>
      <c r="G29" s="11">
        <f>COUNTIF('3. Technical Scope'!F5:F29,"Pendiente")</f>
        <v/>
      </c>
      <c r="H29" s="11">
        <f>B29-SUM(D29:G29)</f>
        <v/>
      </c>
    </row>
    <row r="30">
      <c r="A30" s="12" t="inlineStr">
        <is>
          <t>4. API Research</t>
        </is>
      </c>
      <c r="B30" s="13" t="n">
        <v>14</v>
      </c>
      <c r="C30" s="13" t="n">
        <v>6</v>
      </c>
      <c r="D30" s="13">
        <f>COUNTIF('4. API Research'!F5:F21,"Sí")</f>
        <v/>
      </c>
      <c r="E30" s="13">
        <f>COUNTIF('4. API Research'!F5:F21,"No")</f>
        <v/>
      </c>
      <c r="F30" s="13">
        <f>COUNTIF('4. API Research'!F5:F21,"Ajustar")</f>
        <v/>
      </c>
      <c r="G30" s="13">
        <f>COUNTIF('4. API Research'!F5:F21,"Pendiente")</f>
        <v/>
      </c>
      <c r="H30" s="13">
        <f>B30-SUM(D30:G30)</f>
        <v/>
      </c>
    </row>
    <row r="31">
      <c r="A31" s="10" t="inlineStr">
        <is>
          <t>5. Business Logic</t>
        </is>
      </c>
      <c r="B31" s="11" t="n">
        <v>18</v>
      </c>
      <c r="C31" s="11" t="n">
        <v>6</v>
      </c>
      <c r="D31" s="11">
        <f>COUNTIF('5. Business Logic'!F5:F27,"Sí")</f>
        <v/>
      </c>
      <c r="E31" s="11">
        <f>COUNTIF('5. Business Logic'!F5:F27,"No")</f>
        <v/>
      </c>
      <c r="F31" s="11">
        <f>COUNTIF('5. Business Logic'!F5:F27,"Ajustar")</f>
        <v/>
      </c>
      <c r="G31" s="11">
        <f>COUNTIF('5. Business Logic'!F5:F27,"Pendiente")</f>
        <v/>
      </c>
      <c r="H31" s="11">
        <f>B31-SUM(D31:G31)</f>
        <v/>
      </c>
    </row>
    <row r="32">
      <c r="A32" s="14" t="inlineStr">
        <is>
          <t>TOTAL</t>
        </is>
      </c>
      <c r="B32" s="15">
        <f>SUM(B27:B31)</f>
        <v/>
      </c>
      <c r="C32" s="15">
        <f>SUM(C27:C31)</f>
        <v/>
      </c>
      <c r="D32" s="15">
        <f>SUM(D27:D31)</f>
        <v/>
      </c>
      <c r="E32" s="15">
        <f>SUM(E27:E31)</f>
        <v/>
      </c>
      <c r="F32" s="15">
        <f>SUM(F27:F31)</f>
        <v/>
      </c>
      <c r="G32" s="15">
        <f>SUM(G27:G31)</f>
        <v/>
      </c>
      <c r="H32" s="15">
        <f>SUM(H27:H31)</f>
        <v/>
      </c>
    </row>
    <row r="34">
      <c r="A34" s="16" t="inlineStr">
        <is>
          <t>Los transversales se repiten en cada pestaña, por eso el total suma más que las 60 reglas únicas del checklist.</t>
        </is>
      </c>
    </row>
  </sheetData>
  <mergeCells count="10">
    <mergeCell ref="A12:E12"/>
    <mergeCell ref="A16:E16"/>
    <mergeCell ref="A5:E7"/>
    <mergeCell ref="A10:E10"/>
    <mergeCell ref="A15:E15"/>
    <mergeCell ref="A11:E11"/>
    <mergeCell ref="A13:E13"/>
    <mergeCell ref="A14:E14"/>
    <mergeCell ref="A17:E17"/>
    <mergeCell ref="A34:H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8" customWidth="1" min="2" max="2"/>
    <col width="11" customWidth="1" min="3" max="3"/>
    <col width="76" customWidth="1" min="4" max="4"/>
    <col width="40" customWidth="1" min="5" max="5"/>
    <col width="12" customWidth="1" min="6" max="6"/>
    <col width="38" customWidth="1" min="7" max="7"/>
  </cols>
  <sheetData>
    <row r="1" ht="22" customHeight="1">
      <c r="A1" s="17" t="inlineStr">
        <is>
          <t>Workflow / Arquitectura</t>
        </is>
      </c>
    </row>
    <row r="2">
      <c r="A2" s="16" t="inlineStr">
        <is>
          <t>20 ítems, 9 críticos.  Antes de darle «approve architecture» y antes de que exista cualquier proposal.  Marca en «¿Va?» y anota en «Notas / decisión».</t>
        </is>
      </c>
    </row>
    <row r="4" ht="30" customHeight="1">
      <c r="A4" s="9" t="inlineStr">
        <is>
          <t>#</t>
        </is>
      </c>
      <c r="B4" s="9" t="inlineStr">
        <is>
          <t>Categoría</t>
        </is>
      </c>
      <c r="C4" s="9" t="inlineStr">
        <is>
          <t>Crítico</t>
        </is>
      </c>
      <c r="D4" s="9" t="inlineStr">
        <is>
          <t>Qué revisar</t>
        </is>
      </c>
      <c r="E4" s="9" t="inlineStr">
        <is>
          <t>Por qué / de dónde sale</t>
        </is>
      </c>
      <c r="F4" s="9" t="inlineStr">
        <is>
          <t>¿Va?</t>
        </is>
      </c>
      <c r="G4" s="9" t="inlineStr">
        <is>
          <t>Notas / decisión</t>
        </is>
      </c>
    </row>
    <row r="5" ht="20" customHeight="1">
      <c r="A5" s="18" t="inlineStr">
        <is>
          <t>TRANSVERSALES  —  aplican a todos los entregables  ·  8</t>
        </is>
      </c>
      <c r="B5" s="19" t="n"/>
      <c r="C5" s="19" t="n"/>
      <c r="D5" s="19" t="n"/>
      <c r="E5" s="19" t="n"/>
      <c r="F5" s="19" t="n"/>
      <c r="G5" s="20" t="n"/>
    </row>
    <row r="6">
      <c r="A6" s="21" t="inlineStr">
        <is>
          <t>T.1</t>
        </is>
      </c>
      <c r="B6" s="22" t="inlineStr">
        <is>
          <t>Nombres</t>
        </is>
      </c>
      <c r="C6" s="23" t="inlineStr">
        <is>
          <t>CRÍTICO</t>
        </is>
      </c>
      <c r="D6" s="22" t="inlineStr">
        <is>
          <t>No aparece ningún nombre de persona, ni del cliente, ni de LATO, ni de terceros. Tampoco nombres de los clientes finales o grupos del cliente. Se escribe "el encargado de X".</t>
        </is>
      </c>
      <c r="E6" s="22" t="inlineStr">
        <is>
          <t>Giovanni's 28 jul ("esto lo hemos hablado mil veces"), Green Climate, Allegeant, Health Clinic</t>
        </is>
      </c>
      <c r="F6" s="24" t="inlineStr"/>
      <c r="G6" s="22" t="inlineStr"/>
    </row>
    <row r="7">
      <c r="A7" s="21" t="inlineStr">
        <is>
          <t>T.2</t>
        </is>
      </c>
      <c r="B7" s="22" t="inlineStr">
        <is>
          <t>Nombres</t>
        </is>
      </c>
      <c r="C7" s="23" t="inlineStr">
        <is>
          <t>CRÍTICO</t>
        </is>
      </c>
      <c r="D7" s="22" t="inlineStr">
        <is>
          <t>Los nombres propios están verificados, no copiados de la transcripción: Zelis (no Celis/Zealous), Xplor Pay (no Wordplay), Baily (no Bailey), y los grupos con su nombre completo.</t>
        </is>
      </c>
      <c r="E7" s="22" t="inlineStr">
        <is>
          <t>Allegeant 20 jul, Hudec 28 jul, Baily 22 jul</t>
        </is>
      </c>
      <c r="F7" s="24" t="inlineStr"/>
      <c r="G7" s="22" t="inlineStr"/>
    </row>
    <row r="8">
      <c r="A8" s="25" t="inlineStr">
        <is>
          <t>T.3</t>
        </is>
      </c>
      <c r="B8" s="26" t="inlineStr">
        <is>
          <t>Verificación</t>
        </is>
      </c>
      <c r="C8" s="25" t="inlineStr"/>
      <c r="D8" s="26" t="inlineStr">
        <is>
          <t>No hay nada inventado: ni temas que no se hablaron, ni datos sobre terceros sin verificar, ni porcentajes o estadísticas de los que no estemos 100% seguros.</t>
        </is>
      </c>
      <c r="E8" s="26" t="inlineStr">
        <is>
          <t>Health Clinic 16 jul ("las estadísticas son peligrosas"), video Avonel 22 jun</t>
        </is>
      </c>
      <c r="F8" s="25" t="inlineStr"/>
      <c r="G8" s="26" t="inlineStr"/>
    </row>
    <row r="9">
      <c r="A9" s="21" t="inlineStr">
        <is>
          <t>T.4</t>
        </is>
      </c>
      <c r="B9" s="22" t="inlineStr">
        <is>
          <t>Cliente</t>
        </is>
      </c>
      <c r="C9" s="23" t="inlineStr">
        <is>
          <t>CRÍTICO</t>
        </is>
      </c>
      <c r="D9" s="22" t="inlineStr">
        <is>
          <t>No se le pide al cliente nada que ya confirmó en la reunión, que ya entregó, o a lo que ya tenemos acceso.</t>
        </is>
      </c>
      <c r="E9" s="22" t="inlineStr">
        <is>
          <t>Willoughby 21 jul, Health Clinic 25 jun, video Accuro 3 jul</t>
        </is>
      </c>
      <c r="F9" s="24" t="inlineStr"/>
      <c r="G9" s="22" t="inlineStr"/>
    </row>
    <row r="10">
      <c r="A10" s="21" t="inlineStr">
        <is>
          <t>T.5</t>
        </is>
      </c>
      <c r="B10" s="22" t="inlineStr">
        <is>
          <t>Consistencia</t>
        </is>
      </c>
      <c r="C10" s="23" t="inlineStr">
        <is>
          <t>CRÍTICO</t>
        </is>
      </c>
      <c r="D10" s="22" t="inlineStr">
        <is>
          <t>Lo que cambió está reflejado en todos los documentos y tablas relacionadas: workflow, proposal, tabla de fees, key capabilities, systems &amp; connections y timeline.</t>
        </is>
      </c>
      <c r="E10" s="22" t="inlineStr">
        <is>
          <t>River Salvage 14 jul, Shrager, Walnut</t>
        </is>
      </c>
      <c r="F10" s="24" t="inlineStr"/>
      <c r="G10" s="22" t="inlineStr"/>
    </row>
    <row r="11">
      <c r="A11" s="27" t="inlineStr">
        <is>
          <t>T.6</t>
        </is>
      </c>
      <c r="B11" s="28" t="inlineStr">
        <is>
          <t>Redacción</t>
        </is>
      </c>
      <c r="C11" s="27" t="inlineStr"/>
      <c r="D11" s="28" t="inlineStr">
        <is>
          <t>Sin guiones largos (—), sin emojis ni símbolos ①②③, y sin frases repetidas entre secciones.</t>
        </is>
      </c>
      <c r="E11" s="28" t="inlineStr">
        <is>
          <t>Health Clinic 25 jun, Allegeant 20 jul, Baily 21 jul</t>
        </is>
      </c>
      <c r="F11" s="27" t="inlineStr"/>
      <c r="G11" s="28" t="inlineStr"/>
    </row>
    <row r="12">
      <c r="A12" s="25" t="inlineStr">
        <is>
          <t>T.7</t>
        </is>
      </c>
      <c r="B12" s="26" t="inlineStr">
        <is>
          <t>Redacción</t>
        </is>
      </c>
      <c r="C12" s="25" t="inlineStr"/>
      <c r="D12" s="26" t="inlineStr">
        <is>
          <t>Sin referencias a grabaciones, transcripts ni reuniones.</t>
        </is>
      </c>
      <c r="E12" s="26" t="inlineStr">
        <is>
          <t>Allegeant 23 jul</t>
        </is>
      </c>
      <c r="F12" s="25" t="inlineStr"/>
      <c r="G12" s="26" t="inlineStr"/>
    </row>
    <row r="13">
      <c r="A13" s="27" t="inlineStr">
        <is>
          <t>T.8</t>
        </is>
      </c>
      <c r="B13" s="28" t="inlineStr">
        <is>
          <t>Posicionamiento</t>
        </is>
      </c>
      <c r="C13" s="27" t="inlineStr"/>
      <c r="D13" s="28" t="inlineStr">
        <is>
          <t>El documento está en inglés y en ninguna parte se menciona que nos apoyamos en modelos de IA abiertos.</t>
        </is>
      </c>
      <c r="E13" s="28" t="inlineStr">
        <is>
          <t>Green Climate 24 jul, KNOWLEDGE BASE 6 abr</t>
        </is>
      </c>
      <c r="F13" s="27" t="inlineStr"/>
      <c r="G13" s="28" t="inlineStr"/>
    </row>
    <row r="14" ht="20" customHeight="1">
      <c r="A14" s="29" t="inlineStr">
        <is>
          <t>CRÍTICOS  —  los que se han devuelto corregidos más de una vez  ·  5</t>
        </is>
      </c>
      <c r="B14" s="19" t="n"/>
      <c r="C14" s="19" t="n"/>
      <c r="D14" s="19" t="n"/>
      <c r="E14" s="19" t="n"/>
      <c r="F14" s="19" t="n"/>
      <c r="G14" s="20" t="n"/>
    </row>
    <row r="15">
      <c r="A15" s="21" t="inlineStr">
        <is>
          <t>1.2</t>
        </is>
      </c>
      <c r="B15" s="22" t="inlineStr">
        <is>
          <t>Nomenclatura</t>
        </is>
      </c>
      <c r="C15" s="23" t="inlineStr">
        <is>
          <t>CRÍTICO</t>
        </is>
      </c>
      <c r="D15" s="22" t="inlineStr">
        <is>
          <t>Todo dice "Case", no "Phase". El sistema los genera como Phase y hay que renombrarlos a mano.</t>
        </is>
      </c>
      <c r="E15" s="22" t="inlineStr">
        <is>
          <t>EHR Edge 16 jul; ejemplo correcto: Shrager Defense</t>
        </is>
      </c>
      <c r="F15" s="24" t="inlineStr"/>
      <c r="G15" s="22" t="inlineStr"/>
    </row>
    <row r="16">
      <c r="A16" s="21" t="inlineStr">
        <is>
          <t>1.3</t>
        </is>
      </c>
      <c r="B16" s="22" t="inlineStr">
        <is>
          <t>Lógica</t>
        </is>
      </c>
      <c r="C16" s="23" t="inlineStr">
        <is>
          <t>CRÍTICO</t>
        </is>
      </c>
      <c r="D16" s="22" t="inlineStr">
        <is>
          <t>Cada condicional tiene todas sus salidas dibujadas y etiquetadas, y ningún path queda abierto: todos, incluidos los de salida temprana, llegan al nodo de Data Logging &amp; Reporting.</t>
        </is>
      </c>
      <c r="E16" s="22" t="inlineStr">
        <is>
          <t>QA Accuro issues #01 y #03; Hudec 28 jul (el nodo [4A-3] sin yes path)</t>
        </is>
      </c>
      <c r="F16" s="24" t="inlineStr"/>
      <c r="G16" s="22" t="inlineStr"/>
    </row>
    <row r="17">
      <c r="A17" s="21" t="inlineStr">
        <is>
          <t>1.5</t>
        </is>
      </c>
      <c r="B17" s="22" t="inlineStr">
        <is>
          <t>APIs</t>
        </is>
      </c>
      <c r="C17" s="23" t="inlineStr">
        <is>
          <t>CRÍTICO</t>
        </is>
      </c>
      <c r="D17" s="22" t="inlineStr">
        <is>
          <t>Cada API está verificada contra documentación oficial. Lo que no tiene API pública aparece como drag-and-drop o carga manual, dicho explícitamente.</t>
        </is>
      </c>
      <c r="E17" s="22" t="inlineStr">
        <is>
          <t>EHR (Cause IQ), Shrager (UJS Portal), Walnut (Quicken), Hudec (Dental Intelligence)</t>
        </is>
      </c>
      <c r="F17" s="24" t="inlineStr"/>
      <c r="G17" s="22" t="inlineStr"/>
    </row>
    <row r="18">
      <c r="A18" s="21" t="inlineStr">
        <is>
          <t>1.8</t>
        </is>
      </c>
      <c r="B18" s="22" t="inlineStr">
        <is>
          <t>Key Capabilities</t>
        </is>
      </c>
      <c r="C18" s="23" t="inlineStr">
        <is>
          <t>CRÍTICO</t>
        </is>
      </c>
      <c r="D18" s="22" t="inlineStr">
        <is>
          <t>Están completas y actualizadas al scope actual, e incluyen Scalable &amp; Modular Architecture redactado hacia futuros use cases, y Security &amp; Hosting.</t>
        </is>
      </c>
      <c r="E18" s="22" t="inlineStr">
        <is>
          <t>Walnut 21 jul, Shrager 24 jul</t>
        </is>
      </c>
      <c r="F18" s="24" t="inlineStr"/>
      <c r="G18" s="22" t="inlineStr"/>
    </row>
    <row r="19">
      <c r="A19" s="21" t="inlineStr">
        <is>
          <t>1.9</t>
        </is>
      </c>
      <c r="B19" s="22" t="inlineStr">
        <is>
          <t>TBD</t>
        </is>
      </c>
      <c r="C19" s="23" t="inlineStr">
        <is>
          <t>CRÍTICO</t>
        </is>
      </c>
      <c r="D19" s="22" t="inlineStr">
        <is>
          <t>Los TBD son pocos y agrupados. Lo que se puede asumir se asume, y el detalle fino se guarda como pregunta para el cuestionario.</t>
        </is>
      </c>
      <c r="E19" s="22" t="inlineStr">
        <is>
          <t>Videos Avonel 22 jun</t>
        </is>
      </c>
      <c r="F19" s="24" t="inlineStr"/>
      <c r="G19" s="22" t="inlineStr"/>
    </row>
    <row r="20" ht="20" customHeight="1">
      <c r="A20" s="29" t="inlineStr">
        <is>
          <t>SCOPE  ·  1</t>
        </is>
      </c>
      <c r="B20" s="19" t="n"/>
      <c r="C20" s="19" t="n"/>
      <c r="D20" s="19" t="n"/>
      <c r="E20" s="19" t="n"/>
      <c r="F20" s="19" t="n"/>
      <c r="G20" s="20" t="n"/>
    </row>
    <row r="21">
      <c r="A21" s="25" t="inlineStr">
        <is>
          <t>1.1</t>
        </is>
      </c>
      <c r="B21" s="26" t="inlineStr">
        <is>
          <t>Scope</t>
        </is>
      </c>
      <c r="C21" s="25" t="inlineStr"/>
      <c r="D21" s="26" t="inlineStr">
        <is>
          <t>Los casos del diagrama son exactamente los del Phase 1 acordado: sin casos extra, sin casos de fases futuras y sin procesos que se descartaron.</t>
        </is>
      </c>
      <c r="E21" s="26" t="inlineStr">
        <is>
          <t>Pipitone (client onboarding NO va), Walnut (solo voice), Shrager (quitar Caso 3), Hudec</t>
        </is>
      </c>
      <c r="F21" s="25" t="inlineStr"/>
      <c r="G21" s="26" t="inlineStr"/>
    </row>
    <row r="22" ht="20" customHeight="1">
      <c r="A22" s="29" t="inlineStr">
        <is>
          <t>ESTRUCTURA  ·  1</t>
        </is>
      </c>
      <c r="B22" s="19" t="n"/>
      <c r="C22" s="19" t="n"/>
      <c r="D22" s="19" t="n"/>
      <c r="E22" s="19" t="n"/>
      <c r="F22" s="19" t="n"/>
      <c r="G22" s="20" t="n"/>
    </row>
    <row r="23">
      <c r="A23" s="25" t="inlineStr">
        <is>
          <t>1.4</t>
        </is>
      </c>
      <c r="B23" s="26" t="inlineStr">
        <is>
          <t>Estructura</t>
        </is>
      </c>
      <c r="C23" s="25" t="inlineStr"/>
      <c r="D23" s="26" t="inlineStr">
        <is>
          <t>El primer nodo define el intake channel: de dónde entra la data.</t>
        </is>
      </c>
      <c r="E23" s="26" t="inlineStr">
        <is>
          <t>QA Accuro, issue #02</t>
        </is>
      </c>
      <c r="F23" s="25" t="inlineStr"/>
      <c r="G23" s="26" t="inlineStr"/>
    </row>
    <row r="24" ht="20" customHeight="1">
      <c r="A24" s="29" t="inlineStr">
        <is>
          <t>APIS  ·  2</t>
        </is>
      </c>
      <c r="B24" s="19" t="n"/>
      <c r="C24" s="19" t="n"/>
      <c r="D24" s="19" t="n"/>
      <c r="E24" s="19" t="n"/>
      <c r="F24" s="19" t="n"/>
      <c r="G24" s="20" t="n"/>
    </row>
    <row r="25">
      <c r="A25" s="25" t="inlineStr">
        <is>
          <t>1.6</t>
        </is>
      </c>
      <c r="B25" s="26" t="inlineStr">
        <is>
          <t>APIs</t>
        </is>
      </c>
      <c r="C25" s="25" t="inlineStr"/>
      <c r="D25" s="26" t="inlineStr">
        <is>
          <t>No aparece ningún sistema fuera de scope, ni sin confirmar por el cliente, ni que no vayamos a usar. Si ya usan Slack, no se les mete SendGrid.</t>
        </is>
      </c>
      <c r="E25" s="26" t="inlineStr">
        <is>
          <t>EHR (LinkedIn), Pipitone (ARIBA), Hudec (WorldPay), Willoughby 21 jul, video Avonel 22 jun</t>
        </is>
      </c>
      <c r="F25" s="25" t="inlineStr"/>
      <c r="G25" s="26" t="inlineStr"/>
    </row>
    <row r="26">
      <c r="A26" s="27" t="inlineStr">
        <is>
          <t>1.7</t>
        </is>
      </c>
      <c r="B26" s="28" t="inlineStr">
        <is>
          <t>APIs</t>
        </is>
      </c>
      <c r="C26" s="27" t="inlineStr"/>
      <c r="D26" s="28" t="inlineStr">
        <is>
          <t>La tabla Systems &amp; Connections coincide con el flujo en ambos sentidos: lo que está en la tabla aparece en el diagrama y al revés.</t>
        </is>
      </c>
      <c r="E26" s="28" t="inlineStr">
        <is>
          <t>Hudec 28 jul (Dental Intelligence estaba en la tabla, no en el flujo)</t>
        </is>
      </c>
      <c r="F26" s="27" t="inlineStr"/>
      <c r="G26" s="28" t="inlineStr"/>
    </row>
    <row r="27" ht="20" customHeight="1">
      <c r="A27" s="29" t="inlineStr">
        <is>
          <t>HERENCIA  ·  1</t>
        </is>
      </c>
      <c r="B27" s="19" t="n"/>
      <c r="C27" s="19" t="n"/>
      <c r="D27" s="19" t="n"/>
      <c r="E27" s="19" t="n"/>
      <c r="F27" s="19" t="n"/>
      <c r="G27" s="20" t="n"/>
    </row>
    <row r="28">
      <c r="A28" s="25" t="inlineStr">
        <is>
          <t>1.10</t>
        </is>
      </c>
      <c r="B28" s="26" t="inlineStr">
        <is>
          <t>Herencia</t>
        </is>
      </c>
      <c r="C28" s="25" t="inlineStr"/>
      <c r="D28" s="26" t="inlineStr">
        <is>
          <t>Ningún nodo, nombre o texto quedó heredado de otro proyecto.</t>
        </is>
      </c>
      <c r="E28" s="26" t="inlineStr">
        <is>
          <t>Video Avonel 22 jun ("¿por qué Material Test Record Intake? Eso es de otro caso")</t>
        </is>
      </c>
      <c r="F28" s="25" t="inlineStr"/>
      <c r="G28" s="26" t="inlineStr"/>
    </row>
    <row r="29" ht="20" customHeight="1">
      <c r="A29" s="29" t="inlineStr">
        <is>
          <t>REDACCIÓN  ·  1</t>
        </is>
      </c>
      <c r="B29" s="19" t="n"/>
      <c r="C29" s="19" t="n"/>
      <c r="D29" s="19" t="n"/>
      <c r="E29" s="19" t="n"/>
      <c r="F29" s="19" t="n"/>
      <c r="G29" s="20" t="n"/>
    </row>
    <row r="30">
      <c r="A30" s="25" t="inlineStr">
        <is>
          <t>1.11</t>
        </is>
      </c>
      <c r="B30" s="26" t="inlineStr">
        <is>
          <t>Redacción</t>
        </is>
      </c>
      <c r="C30" s="25" t="inlineStr"/>
      <c r="D30" s="26" t="inlineStr">
        <is>
          <t>El follow-up no lo "decide" la IA: se redacta como "the system determines and executes the appropriate follow-up action based on the configured workflow", y el contenido de los mensajes lo aprueba el cliente.</t>
        </is>
      </c>
      <c r="E30" s="26" t="inlineStr">
        <is>
          <t>Recomendación de Alex, KNOWLEDGE BASE 8 jun</t>
        </is>
      </c>
      <c r="F30" s="25" t="inlineStr"/>
      <c r="G30" s="26" t="inlineStr"/>
    </row>
    <row r="31" ht="20" customHeight="1">
      <c r="A31" s="29" t="inlineStr">
        <is>
          <t>EXPORT  ·  1</t>
        </is>
      </c>
      <c r="B31" s="19" t="n"/>
      <c r="C31" s="19" t="n"/>
      <c r="D31" s="19" t="n"/>
      <c r="E31" s="19" t="n"/>
      <c r="F31" s="19" t="n"/>
      <c r="G31" s="20" t="n"/>
    </row>
    <row r="32">
      <c r="A32" s="25" t="inlineStr">
        <is>
          <t>1.12</t>
        </is>
      </c>
      <c r="B32" s="26" t="inlineStr">
        <is>
          <t>Export</t>
        </is>
      </c>
      <c r="C32" s="25" t="inlineStr"/>
      <c r="D32" s="26" t="inlineStr">
        <is>
          <t>El PDF exportado revisado nodo por nodo: la numeración corresponde al flujo real, no hay nodos duplicados y ninguna etiqueta se solapa con las líneas.</t>
        </is>
      </c>
      <c r="E32" s="26" t="inlineStr">
        <is>
          <t>Walnut 16 jul, Pipitone 30 jul, EHR Edge 16 jul</t>
        </is>
      </c>
      <c r="F32" s="25" t="inlineStr"/>
      <c r="G32" s="26" t="inlineStr"/>
    </row>
  </sheetData>
  <mergeCells count="10">
    <mergeCell ref="A14:G14"/>
    <mergeCell ref="A1:G1"/>
    <mergeCell ref="A27:G27"/>
    <mergeCell ref="A31:G31"/>
    <mergeCell ref="A22:G22"/>
    <mergeCell ref="A20:G20"/>
    <mergeCell ref="A24:G24"/>
    <mergeCell ref="A2:G2"/>
    <mergeCell ref="A29:G29"/>
    <mergeCell ref="A5:G5"/>
  </mergeCells>
  <dataValidations count="1">
    <dataValidation sqref="F6 F7 F8 F9 F10 F11 F12 F13 F15 F16 F17 F18 F19 F21 F23 F25 F26 F28 F30 F32" showDropDown="0" showInputMessage="0" showErrorMessage="0" allowBlank="1" type="list">
      <formula1>"Sí,No,Ajustar,Pendiente"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4" topLeftCell="A5" activePane="bottomLeft" state="frozen"/>
      <selection pane="bottomLeft" activeCell="A1" sqref="A1"/>
    </sheetView>
  </sheetViews>
  <sheetFormatPr baseColWidth="8" defaultRowHeight="15"/>
  <cols>
    <col width="8" customWidth="1" min="1" max="1"/>
    <col width="18" customWidth="1" min="2" max="2"/>
    <col width="11" customWidth="1" min="3" max="3"/>
    <col width="76" customWidth="1" min="4" max="4"/>
    <col width="40" customWidth="1" min="5" max="5"/>
    <col width="12" customWidth="1" min="6" max="6"/>
    <col width="38" customWidth="1" min="7" max="7"/>
  </cols>
  <sheetData>
    <row r="1" ht="22" customHeight="1">
      <c r="A1" s="17" t="inlineStr">
        <is>
          <t>Proposal</t>
        </is>
      </c>
    </row>
    <row r="2">
      <c r="A2" s="16" t="inlineStr">
        <is>
          <t>20 ítems, 9 críticos.  Después de que el workflow está aprobado. Nunca se construye sobre la transcript.  Marca en «¿Va?» y anota en «Notas / decisión».</t>
        </is>
      </c>
    </row>
    <row r="4" ht="30" customHeight="1">
      <c r="A4" s="9" t="inlineStr">
        <is>
          <t>#</t>
        </is>
      </c>
      <c r="B4" s="9" t="inlineStr">
        <is>
          <t>Categoría</t>
        </is>
      </c>
      <c r="C4" s="9" t="inlineStr">
        <is>
          <t>Crítico</t>
        </is>
      </c>
      <c r="D4" s="9" t="inlineStr">
        <is>
          <t>Qué revisar</t>
        </is>
      </c>
      <c r="E4" s="9" t="inlineStr">
        <is>
          <t>Por qué / de dónde sale</t>
        </is>
      </c>
      <c r="F4" s="9" t="inlineStr">
        <is>
          <t>¿Va?</t>
        </is>
      </c>
      <c r="G4" s="9" t="inlineStr">
        <is>
          <t>Notas / decisión</t>
        </is>
      </c>
    </row>
    <row r="5" ht="20" customHeight="1">
      <c r="A5" s="18" t="inlineStr">
        <is>
          <t>TRANSVERSALES  —  aplican a todos los entregables  ·  8</t>
        </is>
      </c>
      <c r="B5" s="19" t="n"/>
      <c r="C5" s="19" t="n"/>
      <c r="D5" s="19" t="n"/>
      <c r="E5" s="19" t="n"/>
      <c r="F5" s="19" t="n"/>
      <c r="G5" s="20" t="n"/>
    </row>
    <row r="6">
      <c r="A6" s="21" t="inlineStr">
        <is>
          <t>T.1</t>
        </is>
      </c>
      <c r="B6" s="22" t="inlineStr">
        <is>
          <t>Nombres</t>
        </is>
      </c>
      <c r="C6" s="23" t="inlineStr">
        <is>
          <t>CRÍTICO</t>
        </is>
      </c>
      <c r="D6" s="22" t="inlineStr">
        <is>
          <t>No aparece ningún nombre de persona, ni del cliente, ni de LATO, ni de terceros. Tampoco nombres de los clientes finales o grupos del cliente. Se escribe "el encargado de X".</t>
        </is>
      </c>
      <c r="E6" s="22" t="inlineStr">
        <is>
          <t>Giovanni's 28 jul ("esto lo hemos hablado mil veces"), Green Climate, Allegeant, Health Clinic</t>
        </is>
      </c>
      <c r="F6" s="24" t="inlineStr"/>
      <c r="G6" s="22" t="inlineStr"/>
    </row>
    <row r="7">
      <c r="A7" s="21" t="inlineStr">
        <is>
          <t>T.2</t>
        </is>
      </c>
      <c r="B7" s="22" t="inlineStr">
        <is>
          <t>Nombres</t>
        </is>
      </c>
      <c r="C7" s="23" t="inlineStr">
        <is>
          <t>CRÍTICO</t>
        </is>
      </c>
      <c r="D7" s="22" t="inlineStr">
        <is>
          <t>Los nombres propios están verificados, no copiados de la transcripción: Zelis (no Celis/Zealous), Xplor Pay (no Wordplay), Baily (no Bailey), y los grupos con su nombre completo.</t>
        </is>
      </c>
      <c r="E7" s="22" t="inlineStr">
        <is>
          <t>Allegeant 20 jul, Hudec 28 jul, Baily 22 jul</t>
        </is>
      </c>
      <c r="F7" s="24" t="inlineStr"/>
      <c r="G7" s="22" t="inlineStr"/>
    </row>
    <row r="8">
      <c r="A8" s="25" t="inlineStr">
        <is>
          <t>T.3</t>
        </is>
      </c>
      <c r="B8" s="26" t="inlineStr">
        <is>
          <t>Verificación</t>
        </is>
      </c>
      <c r="C8" s="25" t="inlineStr"/>
      <c r="D8" s="26" t="inlineStr">
        <is>
          <t>No hay nada inventado: ni temas que no se hablaron, ni datos sobre terceros sin verificar, ni porcentajes o estadísticas de los que no estemos 100% seguros.</t>
        </is>
      </c>
      <c r="E8" s="26" t="inlineStr">
        <is>
          <t>Health Clinic 16 jul ("las estadísticas son peligrosas"), video Avonel 22 jun</t>
        </is>
      </c>
      <c r="F8" s="25" t="inlineStr"/>
      <c r="G8" s="26" t="inlineStr"/>
    </row>
    <row r="9">
      <c r="A9" s="21" t="inlineStr">
        <is>
          <t>T.4</t>
        </is>
      </c>
      <c r="B9" s="22" t="inlineStr">
        <is>
          <t>Cliente</t>
        </is>
      </c>
      <c r="C9" s="23" t="inlineStr">
        <is>
          <t>CRÍTICO</t>
        </is>
      </c>
      <c r="D9" s="22" t="inlineStr">
        <is>
          <t>No se le pide al cliente nada que ya confirmó en la reunión, que ya entregó, o a lo que ya tenemos acceso.</t>
        </is>
      </c>
      <c r="E9" s="22" t="inlineStr">
        <is>
          <t>Willoughby 21 jul, Health Clinic 25 jun, video Accuro 3 jul</t>
        </is>
      </c>
      <c r="F9" s="24" t="inlineStr"/>
      <c r="G9" s="22" t="inlineStr"/>
    </row>
    <row r="10">
      <c r="A10" s="21" t="inlineStr">
        <is>
          <t>T.5</t>
        </is>
      </c>
      <c r="B10" s="22" t="inlineStr">
        <is>
          <t>Consistencia</t>
        </is>
      </c>
      <c r="C10" s="23" t="inlineStr">
        <is>
          <t>CRÍTICO</t>
        </is>
      </c>
      <c r="D10" s="22" t="inlineStr">
        <is>
          <t>Lo que cambió está reflejado en todos los documentos y tablas relacionadas: workflow, proposal, tabla de fees, key capabilities, systems &amp; connections y timeline.</t>
        </is>
      </c>
      <c r="E10" s="22" t="inlineStr">
        <is>
          <t>River Salvage 14 jul, Shrager, Walnut</t>
        </is>
      </c>
      <c r="F10" s="24" t="inlineStr"/>
      <c r="G10" s="22" t="inlineStr"/>
    </row>
    <row r="11">
      <c r="A11" s="27" t="inlineStr">
        <is>
          <t>T.6</t>
        </is>
      </c>
      <c r="B11" s="28" t="inlineStr">
        <is>
          <t>Redacción</t>
        </is>
      </c>
      <c r="C11" s="27" t="inlineStr"/>
      <c r="D11" s="28" t="inlineStr">
        <is>
          <t>Sin guiones largos (—), sin emojis ni símbolos ①②③, y sin frases repetidas entre secciones.</t>
        </is>
      </c>
      <c r="E11" s="28" t="inlineStr">
        <is>
          <t>Health Clinic 25 jun, Allegeant 20 jul, Baily 21 jul</t>
        </is>
      </c>
      <c r="F11" s="27" t="inlineStr"/>
      <c r="G11" s="28" t="inlineStr"/>
    </row>
    <row r="12">
      <c r="A12" s="25" t="inlineStr">
        <is>
          <t>T.7</t>
        </is>
      </c>
      <c r="B12" s="26" t="inlineStr">
        <is>
          <t>Redacción</t>
        </is>
      </c>
      <c r="C12" s="25" t="inlineStr"/>
      <c r="D12" s="26" t="inlineStr">
        <is>
          <t>Sin referencias a grabaciones, transcripts ni reuniones.</t>
        </is>
      </c>
      <c r="E12" s="26" t="inlineStr">
        <is>
          <t>Allegeant 23 jul</t>
        </is>
      </c>
      <c r="F12" s="25" t="inlineStr"/>
      <c r="G12" s="26" t="inlineStr"/>
    </row>
    <row r="13">
      <c r="A13" s="27" t="inlineStr">
        <is>
          <t>T.8</t>
        </is>
      </c>
      <c r="B13" s="28" t="inlineStr">
        <is>
          <t>Posicionamiento</t>
        </is>
      </c>
      <c r="C13" s="27" t="inlineStr"/>
      <c r="D13" s="28" t="inlineStr">
        <is>
          <t>El documento está en inglés y en ninguna parte se menciona que nos apoyamos en modelos de IA abiertos.</t>
        </is>
      </c>
      <c r="E13" s="28" t="inlineStr">
        <is>
          <t>Green Climate 24 jul, KNOWLEDGE BASE 6 abr</t>
        </is>
      </c>
      <c r="F13" s="27" t="inlineStr"/>
      <c r="G13" s="28" t="inlineStr"/>
    </row>
    <row r="14" ht="20" customHeight="1">
      <c r="A14" s="29" t="inlineStr">
        <is>
          <t>CRÍTICOS  —  los que se han devuelto corregidos más de una vez  ·  5</t>
        </is>
      </c>
      <c r="B14" s="19" t="n"/>
      <c r="C14" s="19" t="n"/>
      <c r="D14" s="19" t="n"/>
      <c r="E14" s="19" t="n"/>
      <c r="F14" s="19" t="n"/>
      <c r="G14" s="20" t="n"/>
    </row>
    <row r="15">
      <c r="A15" s="21" t="inlineStr">
        <is>
          <t>2.3</t>
        </is>
      </c>
      <c r="B15" s="22" t="inlineStr">
        <is>
          <t>Redacción</t>
        </is>
      </c>
      <c r="C15" s="23" t="inlineStr">
        <is>
          <t>CRÍTICO</t>
        </is>
      </c>
      <c r="D15" s="22" t="inlineStr">
        <is>
          <t>Cero "(API: X)" en el Workflow Summary y en Operational Efficiency Highlights: ahí se habla por canal (via SMS, via email, via voice). Los nombres de API van únicamente en API Integrations.</t>
        </is>
      </c>
      <c r="E15" s="22" t="inlineStr">
        <is>
          <t>EHR 22 jul + Baily 21 jul ("siempre me toca borrarlas a mano")</t>
        </is>
      </c>
      <c r="F15" s="24" t="inlineStr"/>
      <c r="G15" s="22" t="inlineStr"/>
    </row>
    <row r="16">
      <c r="A16" s="21" t="inlineStr">
        <is>
          <t>2.4</t>
        </is>
      </c>
      <c r="B16" s="22" t="inlineStr">
        <is>
          <t>Client Confirmation</t>
        </is>
      </c>
      <c r="C16" s="23" t="inlineStr">
        <is>
          <t>CRÍTICO</t>
        </is>
      </c>
      <c r="D16" s="22" t="inlineStr">
        <is>
          <t>Solo accesos, licencias, credenciales, IDs y walkthroughs que el cliente tenga que dar. Fuera lo que gestiona LATO (Twilio, SendGrid, Webbula) y fuera la configuración interna, que es material del cuestionario.</t>
        </is>
      </c>
      <c r="E16" s="22" t="inlineStr">
        <is>
          <t>Video Baily 22 jul (de 8 ítems a 3), video Accuro 3 jul</t>
        </is>
      </c>
      <c r="F16" s="24" t="inlineStr"/>
      <c r="G16" s="22" t="inlineStr"/>
    </row>
    <row r="17">
      <c r="A17" s="21" t="inlineStr">
        <is>
          <t>2.6</t>
        </is>
      </c>
      <c r="B17" s="22" t="inlineStr">
        <is>
          <t>Dashboard</t>
        </is>
      </c>
      <c r="C17" s="23" t="inlineStr">
        <is>
          <t>CRÍTICO</t>
        </is>
      </c>
      <c r="D17" s="22" t="inlineStr">
        <is>
          <t>Las Key capabilities son idénticas a las del workflow, no la lista que reescribe el generador.</t>
        </is>
      </c>
      <c r="E17" s="22" t="inlineStr">
        <is>
          <t>Walnut 21 jul</t>
        </is>
      </c>
      <c r="F17" s="24" t="inlineStr"/>
      <c r="G17" s="22" t="inlineStr"/>
    </row>
    <row r="18">
      <c r="A18" s="21" t="inlineStr">
        <is>
          <t>2.11</t>
        </is>
      </c>
      <c r="B18" s="22" t="inlineStr">
        <is>
          <t>Fees</t>
        </is>
      </c>
      <c r="C18" s="23" t="inlineStr">
        <is>
          <t>CRÍTICO</t>
        </is>
      </c>
      <c r="D18" s="22" t="inlineStr">
        <is>
          <t>Ningún valor de template sin reemplazar ($XX,XXX.00, [X], servicios que no aplican), miles con coma (1,000.00) y notas al pie completas.</t>
        </is>
      </c>
      <c r="E18" s="22" t="inlineStr">
        <is>
          <t>Comparación template vs. entregable de Baily</t>
        </is>
      </c>
      <c r="F18" s="24" t="inlineStr"/>
      <c r="G18" s="22" t="inlineStr"/>
    </row>
    <row r="19">
      <c r="A19" s="21" t="inlineStr">
        <is>
          <t>2.12</t>
        </is>
      </c>
      <c r="B19" s="22" t="inlineStr">
        <is>
          <t>Fees</t>
        </is>
      </c>
      <c r="C19" s="23" t="inlineStr">
        <is>
          <t>CRÍTICO</t>
        </is>
      </c>
      <c r="D19" s="22" t="inlineStr">
        <is>
          <t>Todo lo que cambió en el workflow está reflejado en la tabla de fees.</t>
        </is>
      </c>
      <c r="E19" s="22" t="inlineStr">
        <is>
          <t>River Salvage 14 jul ("te quedó faltando arreglar QuickBooks en la tabla de fees")</t>
        </is>
      </c>
      <c r="F19" s="24" t="inlineStr"/>
      <c r="G19" s="22" t="inlineStr"/>
    </row>
    <row r="20" ht="20" customHeight="1">
      <c r="A20" s="29" t="inlineStr">
        <is>
          <t>BASE  ·  1</t>
        </is>
      </c>
      <c r="B20" s="19" t="n"/>
      <c r="C20" s="19" t="n"/>
      <c r="D20" s="19" t="n"/>
      <c r="E20" s="19" t="n"/>
      <c r="F20" s="19" t="n"/>
      <c r="G20" s="20" t="n"/>
    </row>
    <row r="21">
      <c r="A21" s="25" t="inlineStr">
        <is>
          <t>2.1</t>
        </is>
      </c>
      <c r="B21" s="26" t="inlineStr">
        <is>
          <t>Base</t>
        </is>
      </c>
      <c r="C21" s="25" t="inlineStr"/>
      <c r="D21" s="26" t="inlineStr">
        <is>
          <t>La proposal está construida sobre el workflow aprobado, no sobre la transcript. La transcript solo dio contexto.</t>
        </is>
      </c>
      <c r="E21" s="26" t="inlineStr">
        <is>
          <t>Shrager 24 jul ("workflow first, proposal after that"), Baily 15 jul</t>
        </is>
      </c>
      <c r="F21" s="25" t="inlineStr"/>
      <c r="G21" s="26" t="inlineStr"/>
    </row>
    <row r="22" ht="20" customHeight="1">
      <c r="A22" s="29" t="inlineStr">
        <is>
          <t>ESTRUCTURA  ·  1</t>
        </is>
      </c>
      <c r="B22" s="19" t="n"/>
      <c r="C22" s="19" t="n"/>
      <c r="D22" s="19" t="n"/>
      <c r="E22" s="19" t="n"/>
      <c r="F22" s="19" t="n"/>
      <c r="G22" s="20" t="n"/>
    </row>
    <row r="23">
      <c r="A23" s="25" t="inlineStr">
        <is>
          <t>2.2</t>
        </is>
      </c>
      <c r="B23" s="26" t="inlineStr">
        <is>
          <t>Estructura</t>
        </is>
      </c>
      <c r="C23" s="25" t="inlineStr"/>
      <c r="D23" s="26" t="inlineStr">
        <is>
          <t>Están todas las secciones del template: Project Overview, Workflow Summary, Please note, API Integrations, Client Confirmation Requirements, Centralized Dashboard, Operational Efficiency Highlights, Scope of Work, Fees y Agreement.</t>
        </is>
      </c>
      <c r="E23" s="26" t="inlineStr">
        <is>
          <t>Template LP2XXX</t>
        </is>
      </c>
      <c r="F23" s="25" t="inlineStr"/>
      <c r="G23" s="26" t="inlineStr"/>
    </row>
    <row r="24" ht="20" customHeight="1">
      <c r="A24" s="29" t="inlineStr">
        <is>
          <t>API INTEGRATIONS  ·  1</t>
        </is>
      </c>
      <c r="B24" s="19" t="n"/>
      <c r="C24" s="19" t="n"/>
      <c r="D24" s="19" t="n"/>
      <c r="E24" s="19" t="n"/>
      <c r="F24" s="19" t="n"/>
      <c r="G24" s="20" t="n"/>
    </row>
    <row r="25">
      <c r="A25" s="25" t="inlineStr">
        <is>
          <t>2.5</t>
        </is>
      </c>
      <c r="B25" s="26" t="inlineStr">
        <is>
          <t>API Integrations</t>
        </is>
      </c>
      <c r="C25" s="25" t="inlineStr"/>
      <c r="D25" s="26" t="inlineStr">
        <is>
          <t>Solo APIs reales y confirmadas. Lo no viable va como manual o drag-and-drop y no aparece como integración, y lo opcional se describe como opcional en todas las secciones.</t>
        </is>
      </c>
      <c r="E25" s="26" t="inlineStr">
        <is>
          <t>EHR (Cause IQ), Shrager (UJS), video Baily 22 jul (Webbula)</t>
        </is>
      </c>
      <c r="F25" s="25" t="inlineStr"/>
      <c r="G25" s="26" t="inlineStr"/>
    </row>
    <row r="26" ht="20" customHeight="1">
      <c r="A26" s="29" t="inlineStr">
        <is>
          <t>TERMINOLOGÍA  ·  1</t>
        </is>
      </c>
      <c r="B26" s="19" t="n"/>
      <c r="C26" s="19" t="n"/>
      <c r="D26" s="19" t="n"/>
      <c r="E26" s="19" t="n"/>
      <c r="F26" s="19" t="n"/>
      <c r="G26" s="20" t="n"/>
    </row>
    <row r="27">
      <c r="A27" s="25" t="inlineStr">
        <is>
          <t>2.7</t>
        </is>
      </c>
      <c r="B27" s="26" t="inlineStr">
        <is>
          <t>Terminología</t>
        </is>
      </c>
      <c r="C27" s="25" t="inlineStr"/>
      <c r="D27" s="26" t="inlineStr">
        <is>
          <t>La terminología es la misma del workflow, y los títulos de casos son consistentes entre sí: todos con número o todos sin número.</t>
        </is>
      </c>
      <c r="E27" s="26" t="inlineStr">
        <is>
          <t>Video EHR 22 jul, Shrager 31 jul</t>
        </is>
      </c>
      <c r="F27" s="25" t="inlineStr"/>
      <c r="G27" s="26" t="inlineStr"/>
    </row>
    <row r="28" ht="20" customHeight="1">
      <c r="A28" s="29" t="inlineStr">
        <is>
          <t>REDACCIÓN  ·  1</t>
        </is>
      </c>
      <c r="B28" s="19" t="n"/>
      <c r="C28" s="19" t="n"/>
      <c r="D28" s="19" t="n"/>
      <c r="E28" s="19" t="n"/>
      <c r="F28" s="19" t="n"/>
      <c r="G28" s="20" t="n"/>
    </row>
    <row r="29">
      <c r="A29" s="25" t="inlineStr">
        <is>
          <t>2.8</t>
        </is>
      </c>
      <c r="B29" s="26" t="inlineStr">
        <is>
          <t>Redacción</t>
        </is>
      </c>
      <c r="C29" s="25" t="inlineStr"/>
      <c r="D29" s="26" t="inlineStr">
        <is>
          <t>El nombre del cliente está correcto en todo el documento.</t>
        </is>
      </c>
      <c r="E29" s="26" t="inlineStr">
        <is>
          <t>Baily 22 jul, L&amp;L 30 jun</t>
        </is>
      </c>
      <c r="F29" s="25" t="inlineStr"/>
      <c r="G29" s="26" t="inlineStr"/>
    </row>
    <row r="30" ht="20" customHeight="1">
      <c r="A30" s="29" t="inlineStr">
        <is>
          <t>TIMELINE  ·  1</t>
        </is>
      </c>
      <c r="B30" s="19" t="n"/>
      <c r="C30" s="19" t="n"/>
      <c r="D30" s="19" t="n"/>
      <c r="E30" s="19" t="n"/>
      <c r="F30" s="19" t="n"/>
      <c r="G30" s="20" t="n"/>
    </row>
    <row r="31">
      <c r="A31" s="25" t="inlineStr">
        <is>
          <t>2.9</t>
        </is>
      </c>
      <c r="B31" s="26" t="inlineStr">
        <is>
          <t>Timeline</t>
        </is>
      </c>
      <c r="C31" s="25" t="inlineStr"/>
      <c r="D31" s="26" t="inlineStr">
        <is>
          <t>Las 5 fases del Scope of Work están, y las semanas por caso suman el total. Si el pricing no lo especifica, se confirma.</t>
        </is>
      </c>
      <c r="E31" s="26" t="inlineStr">
        <is>
          <t>Template, Shrager 24 jul</t>
        </is>
      </c>
      <c r="F31" s="25" t="inlineStr"/>
      <c r="G31" s="26" t="inlineStr"/>
    </row>
    <row r="32" ht="20" customHeight="1">
      <c r="A32" s="29" t="inlineStr">
        <is>
          <t>FEES  ·  1</t>
        </is>
      </c>
      <c r="B32" s="19" t="n"/>
      <c r="C32" s="19" t="n"/>
      <c r="D32" s="19" t="n"/>
      <c r="E32" s="19" t="n"/>
      <c r="F32" s="19" t="n"/>
      <c r="G32" s="20" t="n"/>
    </row>
    <row r="33">
      <c r="A33" s="25" t="inlineStr">
        <is>
          <t>2.10</t>
        </is>
      </c>
      <c r="B33" s="26" t="inlineStr">
        <is>
          <t>Fees</t>
        </is>
      </c>
      <c r="C33" s="25" t="inlineStr"/>
      <c r="D33" s="26" t="inlineStr">
        <is>
          <t>Una fila de setup fee por caso o fase, y el monthly desglosado en filas numeradas con sus mínimos, en el mismo orden y con exactamente el contenido que mandó leadership.</t>
        </is>
      </c>
      <c r="E33" s="26" t="inlineStr">
        <is>
          <t>Baily, EHR, Walnut, video EHR 22 jul</t>
        </is>
      </c>
      <c r="F33" s="25" t="inlineStr"/>
      <c r="G33" s="26" t="inlineStr"/>
    </row>
  </sheetData>
  <mergeCells count="11">
    <mergeCell ref="A32:G32"/>
    <mergeCell ref="A14:G14"/>
    <mergeCell ref="A1:G1"/>
    <mergeCell ref="A22:G22"/>
    <mergeCell ref="A20:G20"/>
    <mergeCell ref="A24:G24"/>
    <mergeCell ref="A2:G2"/>
    <mergeCell ref="A26:G26"/>
    <mergeCell ref="A30:G30"/>
    <mergeCell ref="A28:G28"/>
    <mergeCell ref="A5:G5"/>
  </mergeCells>
  <dataValidations count="1">
    <dataValidation sqref="F6 F7 F8 F9 F10 F11 F12 F13 F15 F16 F17 F18 F19 F21 F23 F25 F27 F29 F31 F33" showDropDown="0" showInputMessage="0" showErrorMessage="0" allowBlank="1" type="list">
      <formula1>"Sí,No,Ajustar,Pendiente"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ySplit="4" topLeftCell="A5" activePane="bottomLeft" state="frozen"/>
      <selection pane="bottomLeft" activeCell="A1" sqref="A1"/>
    </sheetView>
  </sheetViews>
  <sheetFormatPr baseColWidth="8" defaultRowHeight="15"/>
  <cols>
    <col width="8" customWidth="1" min="1" max="1"/>
    <col width="18" customWidth="1" min="2" max="2"/>
    <col width="11" customWidth="1" min="3" max="3"/>
    <col width="76" customWidth="1" min="4" max="4"/>
    <col width="40" customWidth="1" min="5" max="5"/>
    <col width="12" customWidth="1" min="6" max="6"/>
    <col width="38" customWidth="1" min="7" max="7"/>
  </cols>
  <sheetData>
    <row r="1" ht="22" customHeight="1">
      <c r="A1" s="17" t="inlineStr">
        <is>
          <t>Technical Scope Document</t>
        </is>
      </c>
    </row>
    <row r="2">
      <c r="A2" s="16" t="inlineStr">
        <is>
          <t>20 ítems, 8 críticos.  Antes de mandarlo a revisión. Casi todo el feedback aquí es de detalle: imágenes, capturas y formato.  Marca en «¿Va?» y anota en «Notas / decisión».</t>
        </is>
      </c>
    </row>
    <row r="4" ht="30" customHeight="1">
      <c r="A4" s="9" t="inlineStr">
        <is>
          <t>#</t>
        </is>
      </c>
      <c r="B4" s="9" t="inlineStr">
        <is>
          <t>Categoría</t>
        </is>
      </c>
      <c r="C4" s="9" t="inlineStr">
        <is>
          <t>Crítico</t>
        </is>
      </c>
      <c r="D4" s="9" t="inlineStr">
        <is>
          <t>Qué revisar</t>
        </is>
      </c>
      <c r="E4" s="9" t="inlineStr">
        <is>
          <t>Por qué / de dónde sale</t>
        </is>
      </c>
      <c r="F4" s="9" t="inlineStr">
        <is>
          <t>¿Va?</t>
        </is>
      </c>
      <c r="G4" s="9" t="inlineStr">
        <is>
          <t>Notas / decisión</t>
        </is>
      </c>
    </row>
    <row r="5" ht="20" customHeight="1">
      <c r="A5" s="18" t="inlineStr">
        <is>
          <t>TRANSVERSALES  —  aplican a todos los entregables  ·  8</t>
        </is>
      </c>
      <c r="B5" s="19" t="n"/>
      <c r="C5" s="19" t="n"/>
      <c r="D5" s="19" t="n"/>
      <c r="E5" s="19" t="n"/>
      <c r="F5" s="19" t="n"/>
      <c r="G5" s="20" t="n"/>
    </row>
    <row r="6">
      <c r="A6" s="21" t="inlineStr">
        <is>
          <t>T.1</t>
        </is>
      </c>
      <c r="B6" s="22" t="inlineStr">
        <is>
          <t>Nombres</t>
        </is>
      </c>
      <c r="C6" s="23" t="inlineStr">
        <is>
          <t>CRÍTICO</t>
        </is>
      </c>
      <c r="D6" s="22" t="inlineStr">
        <is>
          <t>No aparece ningún nombre de persona, ni del cliente, ni de LATO, ni de terceros. Tampoco nombres de los clientes finales o grupos del cliente. Se escribe "el encargado de X".</t>
        </is>
      </c>
      <c r="E6" s="22" t="inlineStr">
        <is>
          <t>Giovanni's 28 jul ("esto lo hemos hablado mil veces"), Green Climate, Allegeant, Health Clinic</t>
        </is>
      </c>
      <c r="F6" s="24" t="inlineStr"/>
      <c r="G6" s="22" t="inlineStr"/>
    </row>
    <row r="7">
      <c r="A7" s="21" t="inlineStr">
        <is>
          <t>T.2</t>
        </is>
      </c>
      <c r="B7" s="22" t="inlineStr">
        <is>
          <t>Nombres</t>
        </is>
      </c>
      <c r="C7" s="23" t="inlineStr">
        <is>
          <t>CRÍTICO</t>
        </is>
      </c>
      <c r="D7" s="22" t="inlineStr">
        <is>
          <t>Los nombres propios están verificados, no copiados de la transcripción: Zelis (no Celis/Zealous), Xplor Pay (no Wordplay), Baily (no Bailey), y los grupos con su nombre completo.</t>
        </is>
      </c>
      <c r="E7" s="22" t="inlineStr">
        <is>
          <t>Allegeant 20 jul, Hudec 28 jul, Baily 22 jul</t>
        </is>
      </c>
      <c r="F7" s="24" t="inlineStr"/>
      <c r="G7" s="22" t="inlineStr"/>
    </row>
    <row r="8">
      <c r="A8" s="25" t="inlineStr">
        <is>
          <t>T.3</t>
        </is>
      </c>
      <c r="B8" s="26" t="inlineStr">
        <is>
          <t>Verificación</t>
        </is>
      </c>
      <c r="C8" s="25" t="inlineStr"/>
      <c r="D8" s="26" t="inlineStr">
        <is>
          <t>No hay nada inventado: ni temas que no se hablaron, ni datos sobre terceros sin verificar, ni porcentajes o estadísticas de los que no estemos 100% seguros.</t>
        </is>
      </c>
      <c r="E8" s="26" t="inlineStr">
        <is>
          <t>Health Clinic 16 jul ("las estadísticas son peligrosas"), video Avonel 22 jun</t>
        </is>
      </c>
      <c r="F8" s="25" t="inlineStr"/>
      <c r="G8" s="26" t="inlineStr"/>
    </row>
    <row r="9">
      <c r="A9" s="21" t="inlineStr">
        <is>
          <t>T.4</t>
        </is>
      </c>
      <c r="B9" s="22" t="inlineStr">
        <is>
          <t>Cliente</t>
        </is>
      </c>
      <c r="C9" s="23" t="inlineStr">
        <is>
          <t>CRÍTICO</t>
        </is>
      </c>
      <c r="D9" s="22" t="inlineStr">
        <is>
          <t>No se le pide al cliente nada que ya confirmó en la reunión, que ya entregó, o a lo que ya tenemos acceso.</t>
        </is>
      </c>
      <c r="E9" s="22" t="inlineStr">
        <is>
          <t>Willoughby 21 jul, Health Clinic 25 jun, video Accuro 3 jul</t>
        </is>
      </c>
      <c r="F9" s="24" t="inlineStr"/>
      <c r="G9" s="22" t="inlineStr"/>
    </row>
    <row r="10">
      <c r="A10" s="21" t="inlineStr">
        <is>
          <t>T.5</t>
        </is>
      </c>
      <c r="B10" s="22" t="inlineStr">
        <is>
          <t>Consistencia</t>
        </is>
      </c>
      <c r="C10" s="23" t="inlineStr">
        <is>
          <t>CRÍTICO</t>
        </is>
      </c>
      <c r="D10" s="22" t="inlineStr">
        <is>
          <t>Lo que cambió está reflejado en todos los documentos y tablas relacionadas: workflow, proposal, tabla de fees, key capabilities, systems &amp; connections y timeline.</t>
        </is>
      </c>
      <c r="E10" s="22" t="inlineStr">
        <is>
          <t>River Salvage 14 jul, Shrager, Walnut</t>
        </is>
      </c>
      <c r="F10" s="24" t="inlineStr"/>
      <c r="G10" s="22" t="inlineStr"/>
    </row>
    <row r="11">
      <c r="A11" s="27" t="inlineStr">
        <is>
          <t>T.6</t>
        </is>
      </c>
      <c r="B11" s="28" t="inlineStr">
        <is>
          <t>Redacción</t>
        </is>
      </c>
      <c r="C11" s="27" t="inlineStr"/>
      <c r="D11" s="28" t="inlineStr">
        <is>
          <t>Sin guiones largos (—), sin emojis ni símbolos ①②③, y sin frases repetidas entre secciones.</t>
        </is>
      </c>
      <c r="E11" s="28" t="inlineStr">
        <is>
          <t>Health Clinic 25 jun, Allegeant 20 jul, Baily 21 jul</t>
        </is>
      </c>
      <c r="F11" s="27" t="inlineStr"/>
      <c r="G11" s="28" t="inlineStr"/>
    </row>
    <row r="12">
      <c r="A12" s="25" t="inlineStr">
        <is>
          <t>T.7</t>
        </is>
      </c>
      <c r="B12" s="26" t="inlineStr">
        <is>
          <t>Redacción</t>
        </is>
      </c>
      <c r="C12" s="25" t="inlineStr"/>
      <c r="D12" s="26" t="inlineStr">
        <is>
          <t>Sin referencias a grabaciones, transcripts ni reuniones.</t>
        </is>
      </c>
      <c r="E12" s="26" t="inlineStr">
        <is>
          <t>Allegeant 23 jul</t>
        </is>
      </c>
      <c r="F12" s="25" t="inlineStr"/>
      <c r="G12" s="26" t="inlineStr"/>
    </row>
    <row r="13">
      <c r="A13" s="27" t="inlineStr">
        <is>
          <t>T.8</t>
        </is>
      </c>
      <c r="B13" s="28" t="inlineStr">
        <is>
          <t>Posicionamiento</t>
        </is>
      </c>
      <c r="C13" s="27" t="inlineStr"/>
      <c r="D13" s="28" t="inlineStr">
        <is>
          <t>El documento está en inglés y en ninguna parte se menciona que nos apoyamos en modelos de IA abiertos.</t>
        </is>
      </c>
      <c r="E13" s="28" t="inlineStr">
        <is>
          <t>Green Climate 24 jul, KNOWLEDGE BASE 6 abr</t>
        </is>
      </c>
      <c r="F13" s="27" t="inlineStr"/>
      <c r="G13" s="28" t="inlineStr"/>
    </row>
    <row r="14" ht="20" customHeight="1">
      <c r="A14" s="29" t="inlineStr">
        <is>
          <t>CRÍTICOS  —  los que se han devuelto corregidos más de una vez  ·  4</t>
        </is>
      </c>
      <c r="B14" s="19" t="n"/>
      <c r="C14" s="19" t="n"/>
      <c r="D14" s="19" t="n"/>
      <c r="E14" s="19" t="n"/>
      <c r="F14" s="19" t="n"/>
      <c r="G14" s="20" t="n"/>
    </row>
    <row r="15">
      <c r="A15" s="21" t="inlineStr">
        <is>
          <t>3.3</t>
        </is>
      </c>
      <c r="B15" s="22" t="inlineStr">
        <is>
          <t>Contenido</t>
        </is>
      </c>
      <c r="C15" s="23" t="inlineStr">
        <is>
          <t>CRÍTICO</t>
        </is>
      </c>
      <c r="D15" s="22" t="inlineStr">
        <is>
          <t>Cada afirmación técnica está verificada. ¿De verdad es WordPress? ¿De verdad está en Hostinger? ¿De verdad existe ese sistema de encriptación?</t>
        </is>
      </c>
      <c r="E15" s="22" t="inlineStr">
        <is>
          <t>Health Clinic 25 jun, Allegeant 20 jul</t>
        </is>
      </c>
      <c r="F15" s="24" t="inlineStr"/>
      <c r="G15" s="22" t="inlineStr"/>
    </row>
    <row r="16">
      <c r="A16" s="21" t="inlineStr">
        <is>
          <t>3.9</t>
        </is>
      </c>
      <c r="B16" s="22" t="inlineStr">
        <is>
          <t>Imágenes</t>
        </is>
      </c>
      <c r="C16" s="23" t="inlineStr">
        <is>
          <t>CRÍTICO</t>
        </is>
      </c>
      <c r="D16" s="22" t="inlineStr">
        <is>
          <t>Las imágenes son solo imágenes: cero texto o explicaciones dentro. Los devs necesitan el doc en .md y ese texto se pierde.</t>
        </is>
      </c>
      <c r="E16" s="22" t="inlineStr">
        <is>
          <t>Allegeant 20 jul</t>
        </is>
      </c>
      <c r="F16" s="24" t="inlineStr"/>
      <c r="G16" s="22" t="inlineStr"/>
    </row>
    <row r="17">
      <c r="A17" s="21" t="inlineStr">
        <is>
          <t>3.10</t>
        </is>
      </c>
      <c r="B17" s="22" t="inlineStr">
        <is>
          <t>Imágenes</t>
        </is>
      </c>
      <c r="C17" s="23" t="inlineStr">
        <is>
          <t>CRÍTICO</t>
        </is>
      </c>
      <c r="D17" s="22" t="inlineStr">
        <is>
          <t>Una captura por paso, correspondiente al proceso descrito, con las señalizaciones sobre el elemento correcto y los números legibles.</t>
        </is>
      </c>
      <c r="E17" s="22" t="inlineStr">
        <is>
          <t>Allegeant 20 jul, puntos 9, 10, 11 y 12</t>
        </is>
      </c>
      <c r="F17" s="24" t="inlineStr"/>
      <c r="G17" s="22" t="inlineStr"/>
    </row>
    <row r="18">
      <c r="A18" s="21" t="inlineStr">
        <is>
          <t>3.11</t>
        </is>
      </c>
      <c r="B18" s="22" t="inlineStr">
        <is>
          <t>Formato</t>
        </is>
      </c>
      <c r="C18" s="23" t="inlineStr">
        <is>
          <t>CRÍTICO</t>
        </is>
      </c>
      <c r="D18" s="22" t="inlineStr">
        <is>
          <t>Sin títulos ni textos huérfanos al final de página, las tablas no se parten, y el título de cada figura queda junto a su imagen.</t>
        </is>
      </c>
      <c r="E18" s="22" t="inlineStr">
        <is>
          <t>Health Clinic 25 jun, Allegeant 20 jul</t>
        </is>
      </c>
      <c r="F18" s="24" t="inlineStr"/>
      <c r="G18" s="22" t="inlineStr"/>
    </row>
    <row r="19" ht="20" customHeight="1">
      <c r="A19" s="29" t="inlineStr">
        <is>
          <t>ESTRUCTURA  ·  2</t>
        </is>
      </c>
      <c r="B19" s="19" t="n"/>
      <c r="C19" s="19" t="n"/>
      <c r="D19" s="19" t="n"/>
      <c r="E19" s="19" t="n"/>
      <c r="F19" s="19" t="n"/>
      <c r="G19" s="20" t="n"/>
    </row>
    <row r="20">
      <c r="A20" s="25" t="inlineStr">
        <is>
          <t>3.1</t>
        </is>
      </c>
      <c r="B20" s="26" t="inlineStr">
        <is>
          <t>Estructura</t>
        </is>
      </c>
      <c r="C20" s="25" t="inlineStr"/>
      <c r="D20" s="26" t="inlineStr">
        <is>
          <t>Un solo documento, una sola tab, un solo PDF, aunque cubra dos procesos distintos. Se divide en secciones internas, nunca en archivos separados.</t>
        </is>
      </c>
      <c r="E20" s="26" t="inlineStr">
        <is>
          <t>Allegeant 17 jul (nota de voz)</t>
        </is>
      </c>
      <c r="F20" s="25" t="inlineStr"/>
      <c r="G20" s="26" t="inlineStr"/>
    </row>
    <row r="21">
      <c r="A21" s="27" t="inlineStr">
        <is>
          <t>3.2</t>
        </is>
      </c>
      <c r="B21" s="28" t="inlineStr">
        <is>
          <t>Estructura</t>
        </is>
      </c>
      <c r="C21" s="27" t="inlineStr"/>
      <c r="D21" s="28" t="inlineStr">
        <is>
          <t>Cubre el proceso completo acordado, con el contexto de qué se hace en cada parte.</t>
        </is>
      </c>
      <c r="E21" s="28" t="inlineStr">
        <is>
          <t>Allegeant 17 jul</t>
        </is>
      </c>
      <c r="F21" s="27" t="inlineStr"/>
      <c r="G21" s="28" t="inlineStr"/>
    </row>
    <row r="22" ht="20" customHeight="1">
      <c r="A22" s="29" t="inlineStr">
        <is>
          <t>CONTENIDO  ·  5</t>
        </is>
      </c>
      <c r="B22" s="19" t="n"/>
      <c r="C22" s="19" t="n"/>
      <c r="D22" s="19" t="n"/>
      <c r="E22" s="19" t="n"/>
      <c r="F22" s="19" t="n"/>
      <c r="G22" s="20" t="n"/>
    </row>
    <row r="23">
      <c r="A23" s="25" t="inlineStr">
        <is>
          <t>3.4</t>
        </is>
      </c>
      <c r="B23" s="26" t="inlineStr">
        <is>
          <t>Contenido</t>
        </is>
      </c>
      <c r="C23" s="25" t="inlineStr"/>
      <c r="D23" s="26" t="inlineStr">
        <is>
          <t>Todos los portales y roles están documentados, cada uno con sus capturas. Ninguno omitido.</t>
        </is>
      </c>
      <c r="E23" s="26" t="inlineStr">
        <is>
          <t>Health Clinic 25 jun</t>
        </is>
      </c>
      <c r="F23" s="25" t="inlineStr"/>
      <c r="G23" s="26" t="inlineStr"/>
    </row>
    <row r="24">
      <c r="A24" s="27" t="inlineStr">
        <is>
          <t>3.5</t>
        </is>
      </c>
      <c r="B24" s="28" t="inlineStr">
        <is>
          <t>Contenido</t>
        </is>
      </c>
      <c r="C24" s="27" t="inlineStr"/>
      <c r="D24" s="28" t="inlineStr">
        <is>
          <t>Los intervalos de sincronización llevan nota de dependencia de la API del proveedor: no los podemos garantizar.</t>
        </is>
      </c>
      <c r="E24" s="28" t="inlineStr">
        <is>
          <t>Health Clinic 25 jun</t>
        </is>
      </c>
      <c r="F24" s="27" t="inlineStr"/>
      <c r="G24" s="28" t="inlineStr"/>
    </row>
    <row r="25">
      <c r="A25" s="25" t="inlineStr">
        <is>
          <t>3.6</t>
        </is>
      </c>
      <c r="B25" s="26" t="inlineStr">
        <is>
          <t>Contenido</t>
        </is>
      </c>
      <c r="C25" s="25" t="inlineStr"/>
      <c r="D25" s="26" t="inlineStr">
        <is>
          <t>Los pasos que ejecuta una persona se declaran explícitamente: el sistema notifica a la persona encargada, el sistema no envía ese correo.</t>
        </is>
      </c>
      <c r="E25" s="26" t="inlineStr">
        <is>
          <t>Allegeant 20 jul</t>
        </is>
      </c>
      <c r="F25" s="25" t="inlineStr"/>
      <c r="G25" s="26" t="inlineStr"/>
    </row>
    <row r="26">
      <c r="A26" s="27" t="inlineStr">
        <is>
          <t>3.7</t>
        </is>
      </c>
      <c r="B26" s="28" t="inlineStr">
        <is>
          <t>Contenido</t>
        </is>
      </c>
      <c r="C26" s="27" t="inlineStr"/>
      <c r="D26" s="28" t="inlineStr">
        <is>
          <t>Lo que depende de un cheat sheet del cliente se declara como tal, con captura de la hoja, en vez de presentarlo como información cierta.</t>
        </is>
      </c>
      <c r="E26" s="28" t="inlineStr">
        <is>
          <t>Allegeant 20 jul</t>
        </is>
      </c>
      <c r="F26" s="27" t="inlineStr"/>
      <c r="G26" s="28" t="inlineStr"/>
    </row>
    <row r="27">
      <c r="A27" s="25" t="inlineStr">
        <is>
          <t>3.8</t>
        </is>
      </c>
      <c r="B27" s="26" t="inlineStr">
        <is>
          <t>Contenido</t>
        </is>
      </c>
      <c r="C27" s="25" t="inlineStr"/>
      <c r="D27" s="26" t="inlineStr">
        <is>
          <t>Los wizards están completos, pantalla por pantalla, sin saltarse pasos.</t>
        </is>
      </c>
      <c r="E27" s="26" t="inlineStr">
        <is>
          <t>Allegeant 20 jul y 23 jul</t>
        </is>
      </c>
      <c r="F27" s="25" t="inlineStr"/>
      <c r="G27" s="26" t="inlineStr"/>
    </row>
    <row r="28" ht="20" customHeight="1">
      <c r="A28" s="29" t="inlineStr">
        <is>
          <t>FORMATO  ·  1</t>
        </is>
      </c>
      <c r="B28" s="19" t="n"/>
      <c r="C28" s="19" t="n"/>
      <c r="D28" s="19" t="n"/>
      <c r="E28" s="19" t="n"/>
      <c r="F28" s="19" t="n"/>
      <c r="G28" s="20" t="n"/>
    </row>
    <row r="29">
      <c r="A29" s="25" t="inlineStr">
        <is>
          <t>3.12</t>
        </is>
      </c>
      <c r="B29" s="26" t="inlineStr">
        <is>
          <t>Formato</t>
        </is>
      </c>
      <c r="C29" s="25" t="inlineStr"/>
      <c r="D29" s="26" t="inlineStr">
        <is>
          <t>Los headings empiezan en Heading 1, y la fuente, los tamaños y el espaciado son consistentes en todo el documento.</t>
        </is>
      </c>
      <c r="E29" s="26" t="inlineStr">
        <is>
          <t>Video Health Clinic 25 jun</t>
        </is>
      </c>
      <c r="F29" s="25" t="inlineStr"/>
      <c r="G29" s="26" t="inlineStr"/>
    </row>
  </sheetData>
  <mergeCells count="7">
    <mergeCell ref="A14:G14"/>
    <mergeCell ref="A1:G1"/>
    <mergeCell ref="A22:G22"/>
    <mergeCell ref="A2:G2"/>
    <mergeCell ref="A28:G28"/>
    <mergeCell ref="A19:G19"/>
    <mergeCell ref="A5:G5"/>
  </mergeCells>
  <dataValidations count="1">
    <dataValidation sqref="F6 F7 F8 F9 F10 F11 F12 F13 F15 F16 F17 F18 F20 F21 F23 F24 F25 F26 F27 F29" showDropDown="0" showInputMessage="0" showErrorMessage="0" allowBlank="1" type="list">
      <formula1>"Sí,No,Ajustar,Pendiente"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8" customWidth="1" min="1" max="1"/>
    <col width="18" customWidth="1" min="2" max="2"/>
    <col width="11" customWidth="1" min="3" max="3"/>
    <col width="76" customWidth="1" min="4" max="4"/>
    <col width="40" customWidth="1" min="5" max="5"/>
    <col width="12" customWidth="1" min="6" max="6"/>
    <col width="38" customWidth="1" min="7" max="7"/>
  </cols>
  <sheetData>
    <row r="1" ht="22" customHeight="1">
      <c r="A1" s="17" t="inlineStr">
        <is>
          <t>API Research Report</t>
        </is>
      </c>
    </row>
    <row r="2">
      <c r="A2" s="16" t="inlineStr">
        <is>
          <t>14 ítems, 6 críticos.  Antes de pasarlo a Dana o a Mike. Alimenta directamente al workflow y a la proposal.  Marca en «¿Va?» y anota en «Notas / decisión».</t>
        </is>
      </c>
    </row>
    <row r="4" ht="30" customHeight="1">
      <c r="A4" s="9" t="inlineStr">
        <is>
          <t>#</t>
        </is>
      </c>
      <c r="B4" s="9" t="inlineStr">
        <is>
          <t>Categoría</t>
        </is>
      </c>
      <c r="C4" s="9" t="inlineStr">
        <is>
          <t>Crítico</t>
        </is>
      </c>
      <c r="D4" s="9" t="inlineStr">
        <is>
          <t>Qué revisar</t>
        </is>
      </c>
      <c r="E4" s="9" t="inlineStr">
        <is>
          <t>Por qué / de dónde sale</t>
        </is>
      </c>
      <c r="F4" s="9" t="inlineStr">
        <is>
          <t>¿Va?</t>
        </is>
      </c>
      <c r="G4" s="9" t="inlineStr">
        <is>
          <t>Notas / decisión</t>
        </is>
      </c>
    </row>
    <row r="5" ht="20" customHeight="1">
      <c r="A5" s="18" t="inlineStr">
        <is>
          <t>TRANSVERSALES  —  aplican a todos los entregables  ·  8</t>
        </is>
      </c>
      <c r="B5" s="19" t="n"/>
      <c r="C5" s="19" t="n"/>
      <c r="D5" s="19" t="n"/>
      <c r="E5" s="19" t="n"/>
      <c r="F5" s="19" t="n"/>
      <c r="G5" s="20" t="n"/>
    </row>
    <row r="6">
      <c r="A6" s="21" t="inlineStr">
        <is>
          <t>T.1</t>
        </is>
      </c>
      <c r="B6" s="22" t="inlineStr">
        <is>
          <t>Nombres</t>
        </is>
      </c>
      <c r="C6" s="23" t="inlineStr">
        <is>
          <t>CRÍTICO</t>
        </is>
      </c>
      <c r="D6" s="22" t="inlineStr">
        <is>
          <t>No aparece ningún nombre de persona, ni del cliente, ni de LATO, ni de terceros. Tampoco nombres de los clientes finales o grupos del cliente. Se escribe "el encargado de X".</t>
        </is>
      </c>
      <c r="E6" s="22" t="inlineStr">
        <is>
          <t>Giovanni's 28 jul ("esto lo hemos hablado mil veces"), Green Climate, Allegeant, Health Clinic</t>
        </is>
      </c>
      <c r="F6" s="24" t="inlineStr"/>
      <c r="G6" s="22" t="inlineStr"/>
    </row>
    <row r="7">
      <c r="A7" s="21" t="inlineStr">
        <is>
          <t>T.2</t>
        </is>
      </c>
      <c r="B7" s="22" t="inlineStr">
        <is>
          <t>Nombres</t>
        </is>
      </c>
      <c r="C7" s="23" t="inlineStr">
        <is>
          <t>CRÍTICO</t>
        </is>
      </c>
      <c r="D7" s="22" t="inlineStr">
        <is>
          <t>Los nombres propios están verificados, no copiados de la transcripción: Zelis (no Celis/Zealous), Xplor Pay (no Wordplay), Baily (no Bailey), y los grupos con su nombre completo.</t>
        </is>
      </c>
      <c r="E7" s="22" t="inlineStr">
        <is>
          <t>Allegeant 20 jul, Hudec 28 jul, Baily 22 jul</t>
        </is>
      </c>
      <c r="F7" s="24" t="inlineStr"/>
      <c r="G7" s="22" t="inlineStr"/>
    </row>
    <row r="8">
      <c r="A8" s="25" t="inlineStr">
        <is>
          <t>T.3</t>
        </is>
      </c>
      <c r="B8" s="26" t="inlineStr">
        <is>
          <t>Verificación</t>
        </is>
      </c>
      <c r="C8" s="25" t="inlineStr"/>
      <c r="D8" s="26" t="inlineStr">
        <is>
          <t>No hay nada inventado: ni temas que no se hablaron, ni datos sobre terceros sin verificar, ni porcentajes o estadísticas de los que no estemos 100% seguros.</t>
        </is>
      </c>
      <c r="E8" s="26" t="inlineStr">
        <is>
          <t>Health Clinic 16 jul ("las estadísticas son peligrosas"), video Avonel 22 jun</t>
        </is>
      </c>
      <c r="F8" s="25" t="inlineStr"/>
      <c r="G8" s="26" t="inlineStr"/>
    </row>
    <row r="9">
      <c r="A9" s="21" t="inlineStr">
        <is>
          <t>T.4</t>
        </is>
      </c>
      <c r="B9" s="22" t="inlineStr">
        <is>
          <t>Cliente</t>
        </is>
      </c>
      <c r="C9" s="23" t="inlineStr">
        <is>
          <t>CRÍTICO</t>
        </is>
      </c>
      <c r="D9" s="22" t="inlineStr">
        <is>
          <t>No se le pide al cliente nada que ya confirmó en la reunión, que ya entregó, o a lo que ya tenemos acceso.</t>
        </is>
      </c>
      <c r="E9" s="22" t="inlineStr">
        <is>
          <t>Willoughby 21 jul, Health Clinic 25 jun, video Accuro 3 jul</t>
        </is>
      </c>
      <c r="F9" s="24" t="inlineStr"/>
      <c r="G9" s="22" t="inlineStr"/>
    </row>
    <row r="10">
      <c r="A10" s="21" t="inlineStr">
        <is>
          <t>T.5</t>
        </is>
      </c>
      <c r="B10" s="22" t="inlineStr">
        <is>
          <t>Consistencia</t>
        </is>
      </c>
      <c r="C10" s="23" t="inlineStr">
        <is>
          <t>CRÍTICO</t>
        </is>
      </c>
      <c r="D10" s="22" t="inlineStr">
        <is>
          <t>Lo que cambió está reflejado en todos los documentos y tablas relacionadas: workflow, proposal, tabla de fees, key capabilities, systems &amp; connections y timeline.</t>
        </is>
      </c>
      <c r="E10" s="22" t="inlineStr">
        <is>
          <t>River Salvage 14 jul, Shrager, Walnut</t>
        </is>
      </c>
      <c r="F10" s="24" t="inlineStr"/>
      <c r="G10" s="22" t="inlineStr"/>
    </row>
    <row r="11">
      <c r="A11" s="27" t="inlineStr">
        <is>
          <t>T.6</t>
        </is>
      </c>
      <c r="B11" s="28" t="inlineStr">
        <is>
          <t>Redacción</t>
        </is>
      </c>
      <c r="C11" s="27" t="inlineStr"/>
      <c r="D11" s="28" t="inlineStr">
        <is>
          <t>Sin guiones largos (—), sin emojis ni símbolos ①②③, y sin frases repetidas entre secciones.</t>
        </is>
      </c>
      <c r="E11" s="28" t="inlineStr">
        <is>
          <t>Health Clinic 25 jun, Allegeant 20 jul, Baily 21 jul</t>
        </is>
      </c>
      <c r="F11" s="27" t="inlineStr"/>
      <c r="G11" s="28" t="inlineStr"/>
    </row>
    <row r="12">
      <c r="A12" s="25" t="inlineStr">
        <is>
          <t>T.7</t>
        </is>
      </c>
      <c r="B12" s="26" t="inlineStr">
        <is>
          <t>Redacción</t>
        </is>
      </c>
      <c r="C12" s="25" t="inlineStr"/>
      <c r="D12" s="26" t="inlineStr">
        <is>
          <t>Sin referencias a grabaciones, transcripts ni reuniones.</t>
        </is>
      </c>
      <c r="E12" s="26" t="inlineStr">
        <is>
          <t>Allegeant 23 jul</t>
        </is>
      </c>
      <c r="F12" s="25" t="inlineStr"/>
      <c r="G12" s="26" t="inlineStr"/>
    </row>
    <row r="13">
      <c r="A13" s="27" t="inlineStr">
        <is>
          <t>T.8</t>
        </is>
      </c>
      <c r="B13" s="28" t="inlineStr">
        <is>
          <t>Posicionamiento</t>
        </is>
      </c>
      <c r="C13" s="27" t="inlineStr"/>
      <c r="D13" s="28" t="inlineStr">
        <is>
          <t>El documento está en inglés y en ninguna parte se menciona que nos apoyamos en modelos de IA abiertos.</t>
        </is>
      </c>
      <c r="E13" s="28" t="inlineStr">
        <is>
          <t>Green Climate 24 jul, KNOWLEDGE BASE 6 abr</t>
        </is>
      </c>
      <c r="F13" s="27" t="inlineStr"/>
      <c r="G13" s="28" t="inlineStr"/>
    </row>
    <row r="14" ht="20" customHeight="1">
      <c r="A14" s="29" t="inlineStr">
        <is>
          <t>CRÍTICOS  —  los que se han devuelto corregidos más de una vez  ·  2</t>
        </is>
      </c>
      <c r="B14" s="19" t="n"/>
      <c r="C14" s="19" t="n"/>
      <c r="D14" s="19" t="n"/>
      <c r="E14" s="19" t="n"/>
      <c r="F14" s="19" t="n"/>
      <c r="G14" s="20" t="n"/>
    </row>
    <row r="15">
      <c r="A15" s="21" t="inlineStr">
        <is>
          <t>4.1</t>
        </is>
      </c>
      <c r="B15" s="22" t="inlineStr">
        <is>
          <t>Método</t>
        </is>
      </c>
      <c r="C15" s="23" t="inlineStr">
        <is>
          <t>CRÍTICO</t>
        </is>
      </c>
      <c r="D15" s="22" t="inlineStr">
        <is>
          <t>Todo sale de fuentes oficiales y actuales. Nunca del knowledge base propio del modelo.</t>
        </is>
      </c>
      <c r="E15" s="22" t="inlineStr">
        <is>
          <t>Prompt oficial, KNOWLEDGE BASE 6 abr</t>
        </is>
      </c>
      <c r="F15" s="24" t="inlineStr"/>
      <c r="G15" s="22" t="inlineStr"/>
    </row>
    <row r="16">
      <c r="A16" s="21" t="inlineStr">
        <is>
          <t>4.4</t>
        </is>
      </c>
      <c r="B16" s="22" t="inlineStr">
        <is>
          <t>Contenido</t>
        </is>
      </c>
      <c r="C16" s="23" t="inlineStr">
        <is>
          <t>CRÍTICO</t>
        </is>
      </c>
      <c r="D16" s="22" t="inlineStr">
        <is>
          <t>Reporta las posibilidades encontradas, sin dar recomendaciones ni asumir el approach.</t>
        </is>
      </c>
      <c r="E16" s="22" t="inlineStr">
        <is>
          <t>Green Climate 24 jul</t>
        </is>
      </c>
      <c r="F16" s="24" t="inlineStr"/>
      <c r="G16" s="22" t="inlineStr"/>
    </row>
    <row r="17" ht="20" customHeight="1">
      <c r="A17" s="29" t="inlineStr">
        <is>
          <t>CONTENIDO  ·  4</t>
        </is>
      </c>
      <c r="B17" s="19" t="n"/>
      <c r="C17" s="19" t="n"/>
      <c r="D17" s="19" t="n"/>
      <c r="E17" s="19" t="n"/>
      <c r="F17" s="19" t="n"/>
      <c r="G17" s="20" t="n"/>
    </row>
    <row r="18">
      <c r="A18" s="25" t="inlineStr">
        <is>
          <t>4.2</t>
        </is>
      </c>
      <c r="B18" s="26" t="inlineStr">
        <is>
          <t>Contenido</t>
        </is>
      </c>
      <c r="C18" s="25" t="inlineStr"/>
      <c r="D18" s="26" t="inlineStr">
        <is>
          <t>Responde las cuatro preguntas: ¿existe API pública? ¿hay sandbox? ¿cómo se obtienen las keys de producción y de sandbox? ¿hay costo o suscripción extra?</t>
        </is>
      </c>
      <c r="E18" s="26" t="inlineStr">
        <is>
          <t>Prompt oficial</t>
        </is>
      </c>
      <c r="F18" s="25" t="inlineStr"/>
      <c r="G18" s="26" t="inlineStr"/>
    </row>
    <row r="19">
      <c r="A19" s="27" t="inlineStr">
        <is>
          <t>4.3</t>
        </is>
      </c>
      <c r="B19" s="28" t="inlineStr">
        <is>
          <t>Contenido</t>
        </is>
      </c>
      <c r="C19" s="27" t="inlineStr"/>
      <c r="D19" s="28" t="inlineStr">
        <is>
          <t>Lleva veredicto explícito: viable, requiere validación con el vendor, o no viable.</t>
        </is>
      </c>
      <c r="E19" s="28" t="inlineStr">
        <is>
          <t>Ejemplos Foundation / McCormick / Trimble</t>
        </is>
      </c>
      <c r="F19" s="27" t="inlineStr"/>
      <c r="G19" s="28" t="inlineStr"/>
    </row>
    <row r="20">
      <c r="A20" s="25" t="inlineStr">
        <is>
          <t>4.5</t>
        </is>
      </c>
      <c r="B20" s="26" t="inlineStr">
        <is>
          <t>Contenido</t>
        </is>
      </c>
      <c r="C20" s="25" t="inlineStr"/>
      <c r="D20" s="26" t="inlineStr">
        <is>
          <t>Incluye las preguntas concretas para el vendor y sus datos de contacto.</t>
        </is>
      </c>
      <c r="E20" s="26" t="inlineStr">
        <is>
          <t>Green Climate, Giovanni's</t>
        </is>
      </c>
      <c r="F20" s="25" t="inlineStr"/>
      <c r="G20" s="26" t="inlineStr"/>
    </row>
    <row r="21">
      <c r="A21" s="27" t="inlineStr">
        <is>
          <t>4.6</t>
        </is>
      </c>
      <c r="B21" s="28" t="inlineStr">
        <is>
          <t>Contenido</t>
        </is>
      </c>
      <c r="C21" s="27" t="inlineStr"/>
      <c r="D21" s="28" t="inlineStr">
        <is>
          <t>Declara qué parte del scope queda TBD mientras el vendor no responda.</t>
        </is>
      </c>
      <c r="E21" s="28" t="inlineStr">
        <is>
          <t>Green Climate, Giovanni's</t>
        </is>
      </c>
      <c r="F21" s="27" t="inlineStr"/>
      <c r="G21" s="28" t="inlineStr"/>
    </row>
  </sheetData>
  <mergeCells count="5">
    <mergeCell ref="A14:G14"/>
    <mergeCell ref="A1:G1"/>
    <mergeCell ref="A17:G17"/>
    <mergeCell ref="A2:G2"/>
    <mergeCell ref="A5:G5"/>
  </mergeCells>
  <dataValidations count="1">
    <dataValidation sqref="F6 F7 F8 F9 F10 F11 F12 F13 F15 F16 F18 F19 F20 F21" showDropDown="0" showInputMessage="0" showErrorMessage="0" allowBlank="1" type="list">
      <formula1>"Sí,No,Ajustar,Pendiente"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8" customWidth="1" min="1" max="1"/>
    <col width="18" customWidth="1" min="2" max="2"/>
    <col width="11" customWidth="1" min="3" max="3"/>
    <col width="76" customWidth="1" min="4" max="4"/>
    <col width="40" customWidth="1" min="5" max="5"/>
    <col width="12" customWidth="1" min="6" max="6"/>
    <col width="38" customWidth="1" min="7" max="7"/>
  </cols>
  <sheetData>
    <row r="1" ht="22" customHeight="1">
      <c r="A1" s="17" t="inlineStr">
        <is>
          <t>Business Logic Doc / Designer Brief</t>
        </is>
      </c>
    </row>
    <row r="2">
      <c r="A2" s="16" t="inlineStr">
        <is>
          <t>18 ítems, 6 críticos.  Antes de entregárselo a Alex o al equipo de diseño.  Marca en «¿Va?» y anota en «Notas / decisión».</t>
        </is>
      </c>
    </row>
    <row r="4" ht="30" customHeight="1">
      <c r="A4" s="9" t="inlineStr">
        <is>
          <t>#</t>
        </is>
      </c>
      <c r="B4" s="9" t="inlineStr">
        <is>
          <t>Categoría</t>
        </is>
      </c>
      <c r="C4" s="9" t="inlineStr">
        <is>
          <t>Crítico</t>
        </is>
      </c>
      <c r="D4" s="9" t="inlineStr">
        <is>
          <t>Qué revisar</t>
        </is>
      </c>
      <c r="E4" s="9" t="inlineStr">
        <is>
          <t>Por qué / de dónde sale</t>
        </is>
      </c>
      <c r="F4" s="9" t="inlineStr">
        <is>
          <t>¿Va?</t>
        </is>
      </c>
      <c r="G4" s="9" t="inlineStr">
        <is>
          <t>Notas / decisión</t>
        </is>
      </c>
    </row>
    <row r="5" ht="20" customHeight="1">
      <c r="A5" s="18" t="inlineStr">
        <is>
          <t>TRANSVERSALES  —  aplican a todos los entregables  ·  8</t>
        </is>
      </c>
      <c r="B5" s="19" t="n"/>
      <c r="C5" s="19" t="n"/>
      <c r="D5" s="19" t="n"/>
      <c r="E5" s="19" t="n"/>
      <c r="F5" s="19" t="n"/>
      <c r="G5" s="20" t="n"/>
    </row>
    <row r="6">
      <c r="A6" s="21" t="inlineStr">
        <is>
          <t>T.1</t>
        </is>
      </c>
      <c r="B6" s="22" t="inlineStr">
        <is>
          <t>Nombres</t>
        </is>
      </c>
      <c r="C6" s="23" t="inlineStr">
        <is>
          <t>CRÍTICO</t>
        </is>
      </c>
      <c r="D6" s="22" t="inlineStr">
        <is>
          <t>No aparece ningún nombre de persona, ni del cliente, ni de LATO, ni de terceros. Tampoco nombres de los clientes finales o grupos del cliente. Se escribe "el encargado de X".</t>
        </is>
      </c>
      <c r="E6" s="22" t="inlineStr">
        <is>
          <t>Giovanni's 28 jul ("esto lo hemos hablado mil veces"), Green Climate, Allegeant, Health Clinic</t>
        </is>
      </c>
      <c r="F6" s="24" t="inlineStr"/>
      <c r="G6" s="22" t="inlineStr"/>
    </row>
    <row r="7">
      <c r="A7" s="21" t="inlineStr">
        <is>
          <t>T.2</t>
        </is>
      </c>
      <c r="B7" s="22" t="inlineStr">
        <is>
          <t>Nombres</t>
        </is>
      </c>
      <c r="C7" s="23" t="inlineStr">
        <is>
          <t>CRÍTICO</t>
        </is>
      </c>
      <c r="D7" s="22" t="inlineStr">
        <is>
          <t>Los nombres propios están verificados, no copiados de la transcripción: Zelis (no Celis/Zealous), Xplor Pay (no Wordplay), Baily (no Bailey), y los grupos con su nombre completo.</t>
        </is>
      </c>
      <c r="E7" s="22" t="inlineStr">
        <is>
          <t>Allegeant 20 jul, Hudec 28 jul, Baily 22 jul</t>
        </is>
      </c>
      <c r="F7" s="24" t="inlineStr"/>
      <c r="G7" s="22" t="inlineStr"/>
    </row>
    <row r="8">
      <c r="A8" s="25" t="inlineStr">
        <is>
          <t>T.3</t>
        </is>
      </c>
      <c r="B8" s="26" t="inlineStr">
        <is>
          <t>Verificación</t>
        </is>
      </c>
      <c r="C8" s="25" t="inlineStr"/>
      <c r="D8" s="26" t="inlineStr">
        <is>
          <t>No hay nada inventado: ni temas que no se hablaron, ni datos sobre terceros sin verificar, ni porcentajes o estadísticas de los que no estemos 100% seguros.</t>
        </is>
      </c>
      <c r="E8" s="26" t="inlineStr">
        <is>
          <t>Health Clinic 16 jul ("las estadísticas son peligrosas"), video Avonel 22 jun</t>
        </is>
      </c>
      <c r="F8" s="25" t="inlineStr"/>
      <c r="G8" s="26" t="inlineStr"/>
    </row>
    <row r="9">
      <c r="A9" s="21" t="inlineStr">
        <is>
          <t>T.4</t>
        </is>
      </c>
      <c r="B9" s="22" t="inlineStr">
        <is>
          <t>Cliente</t>
        </is>
      </c>
      <c r="C9" s="23" t="inlineStr">
        <is>
          <t>CRÍTICO</t>
        </is>
      </c>
      <c r="D9" s="22" t="inlineStr">
        <is>
          <t>No se le pide al cliente nada que ya confirmó en la reunión, que ya entregó, o a lo que ya tenemos acceso.</t>
        </is>
      </c>
      <c r="E9" s="22" t="inlineStr">
        <is>
          <t>Willoughby 21 jul, Health Clinic 25 jun, video Accuro 3 jul</t>
        </is>
      </c>
      <c r="F9" s="24" t="inlineStr"/>
      <c r="G9" s="22" t="inlineStr"/>
    </row>
    <row r="10">
      <c r="A10" s="21" t="inlineStr">
        <is>
          <t>T.5</t>
        </is>
      </c>
      <c r="B10" s="22" t="inlineStr">
        <is>
          <t>Consistencia</t>
        </is>
      </c>
      <c r="C10" s="23" t="inlineStr">
        <is>
          <t>CRÍTICO</t>
        </is>
      </c>
      <c r="D10" s="22" t="inlineStr">
        <is>
          <t>Lo que cambió está reflejado en todos los documentos y tablas relacionadas: workflow, proposal, tabla de fees, key capabilities, systems &amp; connections y timeline.</t>
        </is>
      </c>
      <c r="E10" s="22" t="inlineStr">
        <is>
          <t>River Salvage 14 jul, Shrager, Walnut</t>
        </is>
      </c>
      <c r="F10" s="24" t="inlineStr"/>
      <c r="G10" s="22" t="inlineStr"/>
    </row>
    <row r="11">
      <c r="A11" s="27" t="inlineStr">
        <is>
          <t>T.6</t>
        </is>
      </c>
      <c r="B11" s="28" t="inlineStr">
        <is>
          <t>Redacción</t>
        </is>
      </c>
      <c r="C11" s="27" t="inlineStr"/>
      <c r="D11" s="28" t="inlineStr">
        <is>
          <t>Sin guiones largos (—), sin emojis ni símbolos ①②③, y sin frases repetidas entre secciones.</t>
        </is>
      </c>
      <c r="E11" s="28" t="inlineStr">
        <is>
          <t>Health Clinic 25 jun, Allegeant 20 jul, Baily 21 jul</t>
        </is>
      </c>
      <c r="F11" s="27" t="inlineStr"/>
      <c r="G11" s="28" t="inlineStr"/>
    </row>
    <row r="12">
      <c r="A12" s="25" t="inlineStr">
        <is>
          <t>T.7</t>
        </is>
      </c>
      <c r="B12" s="26" t="inlineStr">
        <is>
          <t>Redacción</t>
        </is>
      </c>
      <c r="C12" s="25" t="inlineStr"/>
      <c r="D12" s="26" t="inlineStr">
        <is>
          <t>Sin referencias a grabaciones, transcripts ni reuniones.</t>
        </is>
      </c>
      <c r="E12" s="26" t="inlineStr">
        <is>
          <t>Allegeant 23 jul</t>
        </is>
      </c>
      <c r="F12" s="25" t="inlineStr"/>
      <c r="G12" s="26" t="inlineStr"/>
    </row>
    <row r="13">
      <c r="A13" s="27" t="inlineStr">
        <is>
          <t>T.8</t>
        </is>
      </c>
      <c r="B13" s="28" t="inlineStr">
        <is>
          <t>Posicionamiento</t>
        </is>
      </c>
      <c r="C13" s="27" t="inlineStr"/>
      <c r="D13" s="28" t="inlineStr">
        <is>
          <t>El documento está en inglés y en ninguna parte se menciona que nos apoyamos en modelos de IA abiertos.</t>
        </is>
      </c>
      <c r="E13" s="28" t="inlineStr">
        <is>
          <t>Green Climate 24 jul, KNOWLEDGE BASE 6 abr</t>
        </is>
      </c>
      <c r="F13" s="27" t="inlineStr"/>
      <c r="G13" s="28" t="inlineStr"/>
    </row>
    <row r="14" ht="20" customHeight="1">
      <c r="A14" s="29" t="inlineStr">
        <is>
          <t>CRÍTICOS  —  los que se han devuelto corregidos más de una vez  ·  2</t>
        </is>
      </c>
      <c r="B14" s="19" t="n"/>
      <c r="C14" s="19" t="n"/>
      <c r="D14" s="19" t="n"/>
      <c r="E14" s="19" t="n"/>
      <c r="F14" s="19" t="n"/>
      <c r="G14" s="20" t="n"/>
    </row>
    <row r="15">
      <c r="A15" s="21" t="inlineStr">
        <is>
          <t>5.1</t>
        </is>
      </c>
      <c r="B15" s="22" t="inlineStr">
        <is>
          <t>Nivel de detalle</t>
        </is>
      </c>
      <c r="C15" s="23" t="inlineStr">
        <is>
          <t>CRÍTICO</t>
        </is>
      </c>
      <c r="D15" s="22" t="inlineStr">
        <is>
          <t>No es un technical scope: título, descripción corta y lenguaje simple, sin exagerar ni pedir de más.</t>
        </is>
      </c>
      <c r="E15" s="22" t="inlineStr">
        <is>
          <t>Health Clinic, notas de voz 16 jul</t>
        </is>
      </c>
      <c r="F15" s="24" t="inlineStr"/>
      <c r="G15" s="22" t="inlineStr"/>
    </row>
    <row r="16">
      <c r="A16" s="21" t="inlineStr">
        <is>
          <t>5.2</t>
        </is>
      </c>
      <c r="B16" s="22" t="inlineStr">
        <is>
          <t>Audiencia</t>
        </is>
      </c>
      <c r="C16" s="23" t="inlineStr">
        <is>
          <t>CRÍTICO</t>
        </is>
      </c>
      <c r="D16" s="22" t="inlineStr">
        <is>
          <t>Escrito para quien lo va a leer: a los devs no se les explica lo que ya saben, y sí lo que no saben.</t>
        </is>
      </c>
      <c r="E16" s="22" t="inlineStr">
        <is>
          <t>Videos Health Clinic 16 jul</t>
        </is>
      </c>
      <c r="F16" s="24" t="inlineStr"/>
      <c r="G16" s="22" t="inlineStr"/>
    </row>
    <row r="17" ht="20" customHeight="1">
      <c r="A17" s="29" t="inlineStr">
        <is>
          <t>CONTENIDO  ·  4</t>
        </is>
      </c>
      <c r="B17" s="19" t="n"/>
      <c r="C17" s="19" t="n"/>
      <c r="D17" s="19" t="n"/>
      <c r="E17" s="19" t="n"/>
      <c r="F17" s="19" t="n"/>
      <c r="G17" s="20" t="n"/>
    </row>
    <row r="18">
      <c r="A18" s="25" t="inlineStr">
        <is>
          <t>5.3</t>
        </is>
      </c>
      <c r="B18" s="26" t="inlineStr">
        <is>
          <t>Contenido</t>
        </is>
      </c>
      <c r="C18" s="25" t="inlineStr"/>
      <c r="D18" s="26" t="inlineStr">
        <is>
          <t>Recoge la lógica de negocio que se habló: ventanas horarias, zonas horarias, reglas de escalación, cadencias y toggles de on/off.</t>
        </is>
      </c>
      <c r="E18" s="26" t="inlineStr">
        <is>
          <t>Health Clinic 16 jul</t>
        </is>
      </c>
      <c r="F18" s="25" t="inlineStr"/>
      <c r="G18" s="26" t="inlineStr"/>
    </row>
    <row r="19">
      <c r="A19" s="27" t="inlineStr">
        <is>
          <t>5.4</t>
        </is>
      </c>
      <c r="B19" s="28" t="inlineStr">
        <is>
          <t>Contenido</t>
        </is>
      </c>
      <c r="C19" s="27" t="inlineStr"/>
      <c r="D19" s="28" t="inlineStr">
        <is>
          <t>Cada regla que implique una interfaz describe esa interfaz, con screenshot de referencia cuando exista.</t>
        </is>
      </c>
      <c r="E19" s="28" t="inlineStr">
        <is>
          <t>Health Clinic 16 jul</t>
        </is>
      </c>
      <c r="F19" s="27" t="inlineStr"/>
      <c r="G19" s="28" t="inlineStr"/>
    </row>
    <row r="20">
      <c r="A20" s="25" t="inlineStr">
        <is>
          <t>5.5</t>
        </is>
      </c>
      <c r="B20" s="26" t="inlineStr">
        <is>
          <t>Contenido</t>
        </is>
      </c>
      <c r="C20" s="25" t="inlineStr"/>
      <c r="D20" s="26" t="inlineStr">
        <is>
          <t>Las reglas están al nivel de granularidad correcto: per patient, per medication, no "por paciente" a secas.</t>
        </is>
      </c>
      <c r="E20" s="26" t="inlineStr">
        <is>
          <t>Video Health Clinic 16 jul</t>
        </is>
      </c>
      <c r="F20" s="25" t="inlineStr"/>
      <c r="G20" s="26" t="inlineStr"/>
    </row>
    <row r="21">
      <c r="A21" s="27" t="inlineStr">
        <is>
          <t>5.6</t>
        </is>
      </c>
      <c r="B21" s="28" t="inlineStr">
        <is>
          <t>Contenido</t>
        </is>
      </c>
      <c r="C21" s="27" t="inlineStr"/>
      <c r="D21" s="28" t="inlineStr">
        <is>
          <t>Los canales que no usamos no se mencionan. Si el caso no hace voz, no aparece voz en ninguna parte.</t>
        </is>
      </c>
      <c r="E21" s="28" t="inlineStr">
        <is>
          <t>Video Health Clinic 16 jul</t>
        </is>
      </c>
      <c r="F21" s="27" t="inlineStr"/>
      <c r="G21" s="28" t="inlineStr"/>
    </row>
    <row r="22" ht="20" customHeight="1">
      <c r="A22" s="29" t="inlineStr">
        <is>
          <t>ESTRUCTURA  ·  3</t>
        </is>
      </c>
      <c r="B22" s="19" t="n"/>
      <c r="C22" s="19" t="n"/>
      <c r="D22" s="19" t="n"/>
      <c r="E22" s="19" t="n"/>
      <c r="F22" s="19" t="n"/>
      <c r="G22" s="20" t="n"/>
    </row>
    <row r="23">
      <c r="A23" s="25" t="inlineStr">
        <is>
          <t>5.7</t>
        </is>
      </c>
      <c r="B23" s="26" t="inlineStr">
        <is>
          <t>Estructura</t>
        </is>
      </c>
      <c r="C23" s="25" t="inlineStr"/>
      <c r="D23" s="26" t="inlineStr">
        <is>
          <t>Organizado por módulos o tabs, con una intro que explique qué módulos trae cada fase.</t>
        </is>
      </c>
      <c r="E23" s="26" t="inlineStr">
        <is>
          <t>Witkowski 13 jul</t>
        </is>
      </c>
      <c r="F23" s="25" t="inlineStr"/>
      <c r="G23" s="26" t="inlineStr"/>
    </row>
    <row r="24">
      <c r="A24" s="27" t="inlineStr">
        <is>
          <t>5.8</t>
        </is>
      </c>
      <c r="B24" s="28" t="inlineStr">
        <is>
          <t>Estructura</t>
        </is>
      </c>
      <c r="C24" s="27" t="inlineStr"/>
      <c r="D24" s="28" t="inlineStr">
        <is>
          <t>Cada módulo lleva sus tres pantallas: lista, detalle y formulario de creación, con sus campos.</t>
        </is>
      </c>
      <c r="E24" s="28" t="inlineStr">
        <is>
          <t>Witkowski 13 jul</t>
        </is>
      </c>
      <c r="F24" s="27" t="inlineStr"/>
      <c r="G24" s="28" t="inlineStr"/>
    </row>
    <row r="25">
      <c r="A25" s="25" t="inlineStr">
        <is>
          <t>5.9</t>
        </is>
      </c>
      <c r="B25" s="26" t="inlineStr">
        <is>
          <t>Estructura</t>
        </is>
      </c>
      <c r="C25" s="25" t="inlineStr"/>
      <c r="D25" s="26" t="inlineStr">
        <is>
          <t>Sin exagerar en campos. Si hay duda, quedan como no obligatorios: la idea es plataformas simples.</t>
        </is>
      </c>
      <c r="E25" s="26" t="inlineStr">
        <is>
          <t>Witkowski 13 jul</t>
        </is>
      </c>
      <c r="F25" s="25" t="inlineStr"/>
      <c r="G25" s="26" t="inlineStr"/>
    </row>
    <row r="26" ht="20" customHeight="1">
      <c r="A26" s="29" t="inlineStr">
        <is>
          <t>REQUERIMIENTOS  ·  1</t>
        </is>
      </c>
      <c r="B26" s="19" t="n"/>
      <c r="C26" s="19" t="n"/>
      <c r="D26" s="19" t="n"/>
      <c r="E26" s="19" t="n"/>
      <c r="F26" s="19" t="n"/>
      <c r="G26" s="20" t="n"/>
    </row>
    <row r="27">
      <c r="A27" s="25" t="inlineStr">
        <is>
          <t>5.10</t>
        </is>
      </c>
      <c r="B27" s="26" t="inlineStr">
        <is>
          <t>Requerimientos</t>
        </is>
      </c>
      <c r="C27" s="25" t="inlineStr"/>
      <c r="D27" s="26" t="inlineStr">
        <is>
          <t>Los cambios pedidos a Alex van con screenshot y el punto concreto, no en prosa.</t>
        </is>
      </c>
      <c r="E27" s="26" t="inlineStr">
        <is>
          <t>Willoughby 3 jul, River Salvage 14 jul</t>
        </is>
      </c>
      <c r="F27" s="25" t="inlineStr"/>
      <c r="G27" s="26" t="inlineStr"/>
    </row>
  </sheetData>
  <mergeCells count="7">
    <mergeCell ref="A14:G14"/>
    <mergeCell ref="A1:G1"/>
    <mergeCell ref="A17:G17"/>
    <mergeCell ref="A22:G22"/>
    <mergeCell ref="A26:G26"/>
    <mergeCell ref="A2:G2"/>
    <mergeCell ref="A5:G5"/>
  </mergeCells>
  <dataValidations count="1">
    <dataValidation sqref="F6 F7 F8 F9 F10 F11 F12 F13 F15 F16 F18 F19 F20 F21 F23 F24 F25 F27" showDropDown="0" showInputMessage="0" showErrorMessage="0" allowBlank="1" type="list">
      <formula1>"Sí,No,Ajustar,Pendiente"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2"/>
  <sheetViews>
    <sheetView showGridLines="0" workbookViewId="0">
      <pane ySplit="4" topLeftCell="A5" activePane="bottomLeft" state="frozen"/>
      <selection pane="bottomLeft" activeCell="A1" sqref="A1"/>
    </sheetView>
  </sheetViews>
  <sheetFormatPr baseColWidth="8" defaultRowHeight="15"/>
  <cols>
    <col width="8" customWidth="1" min="1" max="1"/>
    <col width="18" customWidth="1" min="2" max="2"/>
    <col width="11" customWidth="1" min="3" max="3"/>
    <col width="76" customWidth="1" min="4" max="4"/>
    <col width="40" customWidth="1" min="5" max="5"/>
  </cols>
  <sheetData>
    <row r="1">
      <c r="A1" s="17" t="inlineStr">
        <is>
          <t>TRANSVERSALES — fuente única</t>
        </is>
      </c>
    </row>
    <row r="2">
      <c r="A2" s="16" t="inlineStr">
        <is>
          <t>Estas 8 reglas se repiten como primer bloque en cada pestaña de documento. Se editan en data/transversales.json y se regeneran con build/build_data.py y build/build_xlsx.py.</t>
        </is>
      </c>
    </row>
    <row r="4" ht="30" customHeight="1">
      <c r="A4" s="9" t="inlineStr">
        <is>
          <t>#</t>
        </is>
      </c>
      <c r="B4" s="9" t="inlineStr">
        <is>
          <t>Categoría</t>
        </is>
      </c>
      <c r="C4" s="9" t="inlineStr">
        <is>
          <t>Crítico</t>
        </is>
      </c>
      <c r="D4" s="9" t="inlineStr">
        <is>
          <t>Qué revisar</t>
        </is>
      </c>
      <c r="E4" s="9" t="inlineStr">
        <is>
          <t>Por qué / de dónde sale</t>
        </is>
      </c>
    </row>
    <row r="5">
      <c r="A5" s="21" t="inlineStr">
        <is>
          <t>T.1</t>
        </is>
      </c>
      <c r="B5" s="22" t="inlineStr">
        <is>
          <t>Nombres</t>
        </is>
      </c>
      <c r="C5" s="23" t="inlineStr">
        <is>
          <t>CRÍTICO</t>
        </is>
      </c>
      <c r="D5" s="22" t="inlineStr">
        <is>
          <t>No aparece ningún nombre de persona, ni del cliente, ni de LATO, ni de terceros. Tampoco nombres de los clientes finales o grupos del cliente. Se escribe "el encargado de X".</t>
        </is>
      </c>
      <c r="E5" s="22" t="inlineStr">
        <is>
          <t>Giovanni's 28 jul ("esto lo hemos hablado mil veces"), Green Climate, Allegeant, Health Clinic</t>
        </is>
      </c>
    </row>
    <row r="6">
      <c r="A6" s="21" t="inlineStr">
        <is>
          <t>T.2</t>
        </is>
      </c>
      <c r="B6" s="22" t="inlineStr">
        <is>
          <t>Nombres</t>
        </is>
      </c>
      <c r="C6" s="23" t="inlineStr">
        <is>
          <t>CRÍTICO</t>
        </is>
      </c>
      <c r="D6" s="22" t="inlineStr">
        <is>
          <t>Los nombres propios están verificados, no copiados de la transcripción: Zelis (no Celis/Zealous), Xplor Pay (no Wordplay), Baily (no Bailey), y los grupos con su nombre completo.</t>
        </is>
      </c>
      <c r="E6" s="22" t="inlineStr">
        <is>
          <t>Allegeant 20 jul, Hudec 28 jul, Baily 22 jul</t>
        </is>
      </c>
    </row>
    <row r="7">
      <c r="A7" s="25" t="inlineStr">
        <is>
          <t>T.3</t>
        </is>
      </c>
      <c r="B7" s="26" t="inlineStr">
        <is>
          <t>Verificación</t>
        </is>
      </c>
      <c r="C7" s="25" t="inlineStr"/>
      <c r="D7" s="26" t="inlineStr">
        <is>
          <t>No hay nada inventado: ni temas que no se hablaron, ni datos sobre terceros sin verificar, ni porcentajes o estadísticas de los que no estemos 100% seguros.</t>
        </is>
      </c>
      <c r="E7" s="26" t="inlineStr">
        <is>
          <t>Health Clinic 16 jul ("las estadísticas son peligrosas"), video Avonel 22 jun</t>
        </is>
      </c>
    </row>
    <row r="8">
      <c r="A8" s="21" t="inlineStr">
        <is>
          <t>T.4</t>
        </is>
      </c>
      <c r="B8" s="22" t="inlineStr">
        <is>
          <t>Cliente</t>
        </is>
      </c>
      <c r="C8" s="23" t="inlineStr">
        <is>
          <t>CRÍTICO</t>
        </is>
      </c>
      <c r="D8" s="22" t="inlineStr">
        <is>
          <t>No se le pide al cliente nada que ya confirmó en la reunión, que ya entregó, o a lo que ya tenemos acceso.</t>
        </is>
      </c>
      <c r="E8" s="22" t="inlineStr">
        <is>
          <t>Willoughby 21 jul, Health Clinic 25 jun, video Accuro 3 jul</t>
        </is>
      </c>
    </row>
    <row r="9">
      <c r="A9" s="21" t="inlineStr">
        <is>
          <t>T.5</t>
        </is>
      </c>
      <c r="B9" s="22" t="inlineStr">
        <is>
          <t>Consistencia</t>
        </is>
      </c>
      <c r="C9" s="23" t="inlineStr">
        <is>
          <t>CRÍTICO</t>
        </is>
      </c>
      <c r="D9" s="22" t="inlineStr">
        <is>
          <t>Lo que cambió está reflejado en todos los documentos y tablas relacionadas: workflow, proposal, tabla de fees, key capabilities, systems &amp; connections y timeline.</t>
        </is>
      </c>
      <c r="E9" s="22" t="inlineStr">
        <is>
          <t>River Salvage 14 jul, Shrager, Walnut</t>
        </is>
      </c>
    </row>
    <row r="10">
      <c r="A10" s="27" t="inlineStr">
        <is>
          <t>T.6</t>
        </is>
      </c>
      <c r="B10" s="28" t="inlineStr">
        <is>
          <t>Redacción</t>
        </is>
      </c>
      <c r="C10" s="27" t="inlineStr"/>
      <c r="D10" s="28" t="inlineStr">
        <is>
          <t>Sin guiones largos (—), sin emojis ni símbolos ①②③, y sin frases repetidas entre secciones.</t>
        </is>
      </c>
      <c r="E10" s="28" t="inlineStr">
        <is>
          <t>Health Clinic 25 jun, Allegeant 20 jul, Baily 21 jul</t>
        </is>
      </c>
    </row>
    <row r="11">
      <c r="A11" s="25" t="inlineStr">
        <is>
          <t>T.7</t>
        </is>
      </c>
      <c r="B11" s="26" t="inlineStr">
        <is>
          <t>Redacción</t>
        </is>
      </c>
      <c r="C11" s="25" t="inlineStr"/>
      <c r="D11" s="26" t="inlineStr">
        <is>
          <t>Sin referencias a grabaciones, transcripts ni reuniones.</t>
        </is>
      </c>
      <c r="E11" s="26" t="inlineStr">
        <is>
          <t>Allegeant 23 jul</t>
        </is>
      </c>
    </row>
    <row r="12">
      <c r="A12" s="27" t="inlineStr">
        <is>
          <t>T.8</t>
        </is>
      </c>
      <c r="B12" s="28" t="inlineStr">
        <is>
          <t>Posicionamiento</t>
        </is>
      </c>
      <c r="C12" s="27" t="inlineStr"/>
      <c r="D12" s="28" t="inlineStr">
        <is>
          <t>El documento está en inglés y en ninguna parte se menciona que nos apoyamos en modelos de IA abiertos.</t>
        </is>
      </c>
      <c r="E12" s="28" t="inlineStr">
        <is>
          <t>Green Climate 24 jul, KNOWLEDGE BASE 6 abr</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2026-08-02T00:19:51Z</dcterms:created>
  <dcterms:modified xmlns:dcterms="http://purl.org/dc/terms/" xmlns:xsi="http://www.w3.org/2001/XMLSchema-instance" xsi:type="dcterms:W3CDTF">2026-08-02T00:19:51Z</dcterms:modified>
</cp:coreProperties>
</file>